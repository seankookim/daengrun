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Me" sheetId="2" state="visible" r:id="rId4"/>
    <sheet name="Assumptions" sheetId="3" state="visible" r:id="rId5"/>
    <sheet name="UnitEcon" sheetId="4" state="visible" r:id="rId6"/>
    <sheet name="Projection" sheetId="5" state="visible" r:id="rId7"/>
    <sheet name="Suppl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<sst xmlns="http://schemas.openxmlformats.org/spreadsheetml/2006/main" count="220" uniqueCount="206">
  <si>
    <t xml:space="preserve">도그스하이 (DOGS HIGH) — 투자자 요약 (Summary)</t>
  </si>
  <si>
    <t xml:space="preserve">작성 2026-08-03 · 원본 모델: dogshigh-growth-model.xlsx · 이 시트의 모든 값은 아래 시트(Assumptions/UnitEcon/Projection)에서 실시간 계산됩니다.</t>
  </si>
  <si>
    <t xml:space="preserve">⚠️ 가정 주의 (DISCLAIMER) — 반드시 읽어주세요</t>
  </si>
  <si>
    <r>
      <rPr>
        <sz val="9"/>
        <color rgb="FF7A3200"/>
        <rFont val="Cambria"/>
        <family val="0"/>
        <charset val="1"/>
      </rPr>
      <t xml:space="preserve">1. </t>
    </r>
    <r>
      <rPr>
        <sz val="9"/>
        <color rgb="FF7A3200"/>
        <rFont val="Noto Sans CJK SC"/>
        <family val="2"/>
      </rPr>
      <t xml:space="preserve">도그스하이는 프리런칭입니다</t>
    </r>
    <r>
      <rPr>
        <sz val="9"/>
        <color rgb="FF7A3200"/>
        <rFont val="Cambria"/>
        <family val="0"/>
        <charset val="1"/>
      </rPr>
      <t xml:space="preserve">. 2026-08-03 </t>
    </r>
    <r>
      <rPr>
        <sz val="9"/>
        <color rgb="FF7A3200"/>
        <rFont val="Noto Sans CJK SC"/>
        <family val="2"/>
      </rPr>
      <t xml:space="preserve">기준 유료 고객 </t>
    </r>
    <r>
      <rPr>
        <sz val="9"/>
        <color rgb="FF7A3200"/>
        <rFont val="Cambria"/>
        <family val="0"/>
        <charset val="1"/>
      </rPr>
      <t xml:space="preserve">0</t>
    </r>
    <r>
      <rPr>
        <sz val="9"/>
        <color rgb="FF7A3200"/>
        <rFont val="Noto Sans CJK SC"/>
        <family val="2"/>
      </rPr>
      <t xml:space="preserve">명</t>
    </r>
    <r>
      <rPr>
        <sz val="9"/>
        <color rgb="FF7A3200"/>
        <rFont val="Cambria"/>
        <family val="0"/>
        <charset val="1"/>
      </rPr>
      <t xml:space="preserve">, </t>
    </r>
    <r>
      <rPr>
        <sz val="9"/>
        <color rgb="FF7A3200"/>
        <rFont val="Noto Sans CJK SC"/>
        <family val="2"/>
      </rPr>
      <t xml:space="preserve">누적 매출 </t>
    </r>
    <r>
      <rPr>
        <sz val="9"/>
        <color rgb="FF7A3200"/>
        <rFont val="Cambria"/>
        <family val="0"/>
        <charset val="1"/>
      </rPr>
      <t xml:space="preserve">0</t>
    </r>
    <r>
      <rPr>
        <sz val="9"/>
        <color rgb="FF7A3200"/>
        <rFont val="Noto Sans CJK SC"/>
        <family val="2"/>
      </rPr>
      <t xml:space="preserve">원</t>
    </r>
    <r>
      <rPr>
        <sz val="9"/>
        <color rgb="FF7A3200"/>
        <rFont val="Cambria"/>
        <family val="0"/>
        <charset val="1"/>
      </rPr>
      <t xml:space="preserve">. </t>
    </r>
    <r>
      <rPr>
        <sz val="9"/>
        <color rgb="FF7A3200"/>
        <rFont val="Noto Sans CJK SC"/>
        <family val="2"/>
      </rPr>
      <t xml:space="preserve">이 파일에 실적</t>
    </r>
    <r>
      <rPr>
        <sz val="9"/>
        <color rgb="FF7A3200"/>
        <rFont val="Cambria"/>
        <family val="0"/>
        <charset val="1"/>
      </rPr>
      <t xml:space="preserve">(actual) </t>
    </r>
    <r>
      <rPr>
        <sz val="9"/>
        <color rgb="FF7A3200"/>
        <rFont val="Noto Sans CJK SC"/>
        <family val="2"/>
      </rPr>
      <t xml:space="preserve">수치는 한 줄도 없습니다</t>
    </r>
    <r>
      <rPr>
        <sz val="9"/>
        <color rgb="FF7A3200"/>
        <rFont val="Cambria"/>
        <family val="0"/>
        <charset val="1"/>
      </rPr>
      <t xml:space="preserve">.</t>
    </r>
  </si>
  <si>
    <r>
      <rPr>
        <sz val="9"/>
        <color rgb="FF7A3200"/>
        <rFont val="Cambria"/>
        <family val="0"/>
        <charset val="1"/>
      </rPr>
      <t xml:space="preserve">2. </t>
    </r>
    <r>
      <rPr>
        <sz val="9"/>
        <color rgb="FF7A3200"/>
        <rFont val="Noto Sans CJK SC"/>
        <family val="2"/>
      </rPr>
      <t xml:space="preserve">이 워크북의 모든 숫자는 가설</t>
    </r>
    <r>
      <rPr>
        <sz val="9"/>
        <color rgb="FF7A3200"/>
        <rFont val="Cambria"/>
        <family val="0"/>
        <charset val="1"/>
      </rPr>
      <t xml:space="preserve">(hypothesis)</t>
    </r>
    <r>
      <rPr>
        <sz val="9"/>
        <color rgb="FF7A3200"/>
        <rFont val="Noto Sans CJK SC"/>
        <family val="2"/>
      </rPr>
      <t xml:space="preserve">과 시장 앵커 기반 추정입니다 — 가격 ₩</t>
    </r>
    <r>
      <rPr>
        <sz val="9"/>
        <color rgb="FF7A3200"/>
        <rFont val="Cambria"/>
        <family val="0"/>
        <charset val="1"/>
      </rPr>
      <t xml:space="preserve">9,900+3,000/km(</t>
    </r>
    <r>
      <rPr>
        <sz val="9"/>
        <color rgb="FF7A3200"/>
        <rFont val="Noto Sans CJK SC"/>
        <family val="2"/>
      </rPr>
      <t xml:space="preserve">앱 정책</t>
    </r>
    <r>
      <rPr>
        <sz val="9"/>
        <color rgb="FF7A3200"/>
        <rFont val="Cambria"/>
        <family val="0"/>
        <charset val="1"/>
      </rPr>
      <t xml:space="preserve">), </t>
    </r>
    <r>
      <rPr>
        <sz val="9"/>
        <color rgb="FF7A3200"/>
        <rFont val="Noto Sans CJK SC"/>
        <family val="2"/>
      </rPr>
      <t xml:space="preserve">멤버십 ₩</t>
    </r>
    <r>
      <rPr>
        <sz val="9"/>
        <color rgb="FF7A3200"/>
        <rFont val="Cambria"/>
        <family val="0"/>
        <charset val="1"/>
      </rPr>
      <t xml:space="preserve">199–299k(</t>
    </r>
    <r>
      <rPr>
        <sz val="9"/>
        <color rgb="FF7A3200"/>
        <rFont val="Noto Sans CJK SC"/>
        <family val="2"/>
      </rPr>
      <t xml:space="preserve">플레이북 가설</t>
    </r>
    <r>
      <rPr>
        <sz val="9"/>
        <color rgb="FF7A3200"/>
        <rFont val="Cambria"/>
        <family val="0"/>
        <charset val="1"/>
      </rPr>
      <t xml:space="preserve">), </t>
    </r>
    <r>
      <rPr>
        <sz val="9"/>
        <color rgb="FF7A3200"/>
        <rFont val="Noto Sans CJK SC"/>
        <family val="2"/>
      </rPr>
      <t xml:space="preserve">테이크 </t>
    </r>
    <r>
      <rPr>
        <sz val="9"/>
        <color rgb="FF7A3200"/>
        <rFont val="Cambria"/>
        <family val="0"/>
        <charset val="1"/>
      </rPr>
      <t xml:space="preserve">20%(</t>
    </r>
    <r>
      <rPr>
        <sz val="9"/>
        <color rgb="FF7A3200"/>
        <rFont val="Noto Sans CJK SC"/>
        <family val="2"/>
      </rPr>
      <t xml:space="preserve">와요</t>
    </r>
    <r>
      <rPr>
        <sz val="9"/>
        <color rgb="FF7A3200"/>
        <rFont val="Cambria"/>
        <family val="0"/>
        <charset val="1"/>
      </rPr>
      <t xml:space="preserve">·</t>
    </r>
    <r>
      <rPr>
        <sz val="9"/>
        <color rgb="FF7A3200"/>
        <rFont val="Noto Sans CJK SC"/>
        <family val="2"/>
      </rPr>
      <t xml:space="preserve">비포펫형 </t>
    </r>
    <r>
      <rPr>
        <sz val="9"/>
        <color rgb="FF7A3200"/>
        <rFont val="Cambria"/>
        <family val="0"/>
        <charset val="1"/>
      </rPr>
      <t xml:space="preserve">15–30% </t>
    </r>
    <r>
      <rPr>
        <sz val="9"/>
        <color rgb="FF7A3200"/>
        <rFont val="Noto Sans CJK SC"/>
        <family val="2"/>
      </rPr>
      <t xml:space="preserve">대역</t>
    </r>
    <r>
      <rPr>
        <sz val="9"/>
        <color rgb="FF7A3200"/>
        <rFont val="Cambria"/>
        <family val="0"/>
        <charset val="1"/>
      </rPr>
      <t xml:space="preserve">), PG 3.3%(</t>
    </r>
    <r>
      <rPr>
        <sz val="9"/>
        <color rgb="FF7A3200"/>
        <rFont val="Noto Sans CJK SC"/>
        <family val="2"/>
      </rPr>
      <t xml:space="preserve">통상 단가</t>
    </r>
    <r>
      <rPr>
        <sz val="9"/>
        <color rgb="FF7A3200"/>
        <rFont val="Cambria"/>
        <family val="0"/>
        <charset val="1"/>
      </rPr>
      <t xml:space="preserve">, </t>
    </r>
    <r>
      <rPr>
        <sz val="9"/>
        <color rgb="FF7A3200"/>
        <rFont val="Noto Sans CJK SC"/>
        <family val="2"/>
      </rPr>
      <t xml:space="preserve">견적 전</t>
    </r>
    <r>
      <rPr>
        <sz val="9"/>
        <color rgb="FF7A3200"/>
        <rFont val="Cambria"/>
        <family val="0"/>
        <charset val="1"/>
      </rPr>
      <t xml:space="preserve">), </t>
    </r>
    <r>
      <rPr>
        <sz val="9"/>
        <color rgb="FF7A3200"/>
        <rFont val="Noto Sans CJK SC"/>
        <family val="2"/>
      </rPr>
      <t xml:space="preserve">보험 ₩</t>
    </r>
    <r>
      <rPr>
        <sz val="9"/>
        <color rgb="FF7A3200"/>
        <rFont val="Cambria"/>
        <family val="0"/>
        <charset val="1"/>
      </rPr>
      <t xml:space="preserve">1,000/</t>
    </r>
    <r>
      <rPr>
        <sz val="9"/>
        <color rgb="FF7A3200"/>
        <rFont val="Noto Sans CJK SC"/>
        <family val="2"/>
      </rPr>
      <t xml:space="preserve">런</t>
    </r>
    <r>
      <rPr>
        <sz val="9"/>
        <color rgb="FF7A3200"/>
        <rFont val="Cambria"/>
        <family val="0"/>
        <charset val="1"/>
      </rPr>
      <t xml:space="preserve">(</t>
    </r>
    <r>
      <rPr>
        <sz val="9"/>
        <color rgb="FF7A3200"/>
        <rFont val="Noto Sans CJK SC"/>
        <family val="2"/>
      </rPr>
      <t xml:space="preserve">견적 미수령</t>
    </r>
    <r>
      <rPr>
        <sz val="9"/>
        <color rgb="FF7A3200"/>
        <rFont val="Cambria"/>
        <family val="0"/>
        <charset val="1"/>
      </rPr>
      <t xml:space="preserve">).</t>
    </r>
  </si>
  <si>
    <r>
      <rPr>
        <sz val="9"/>
        <color rgb="FF7A3200"/>
        <rFont val="Cambria"/>
        <family val="0"/>
        <charset val="1"/>
      </rPr>
      <t xml:space="preserve">3. </t>
    </r>
    <r>
      <rPr>
        <sz val="9"/>
        <color rgb="FF7A3200"/>
        <rFont val="Noto Sans CJK SC"/>
        <family val="2"/>
      </rPr>
      <t xml:space="preserve">리텐션</t>
    </r>
    <r>
      <rPr>
        <sz val="9"/>
        <color rgb="FF7A3200"/>
        <rFont val="Cambria"/>
        <family val="0"/>
        <charset val="1"/>
      </rPr>
      <t xml:space="preserve">·</t>
    </r>
    <r>
      <rPr>
        <sz val="9"/>
        <color rgb="FF7A3200"/>
        <rFont val="Noto Sans CJK SC"/>
        <family val="2"/>
      </rPr>
      <t xml:space="preserve">전환율</t>
    </r>
    <r>
      <rPr>
        <sz val="9"/>
        <color rgb="FF7A3200"/>
        <rFont val="Cambria"/>
        <family val="0"/>
        <charset val="1"/>
      </rPr>
      <t xml:space="preserve">·CAC·</t>
    </r>
    <r>
      <rPr>
        <sz val="9"/>
        <color rgb="FF7A3200"/>
        <rFont val="Noto Sans CJK SC"/>
        <family val="2"/>
      </rPr>
      <t xml:space="preserve">리퍼럴 계수는 전부 미검증 가설입니다</t>
    </r>
    <r>
      <rPr>
        <sz val="9"/>
        <color rgb="FF7A3200"/>
        <rFont val="Cambria"/>
        <family val="0"/>
        <charset val="1"/>
      </rPr>
      <t xml:space="preserve">. </t>
    </r>
    <r>
      <rPr>
        <sz val="9"/>
        <color rgb="FF7A3200"/>
        <rFont val="Noto Sans CJK SC"/>
        <family val="2"/>
      </rPr>
      <t xml:space="preserve">첫 실데이터는 </t>
    </r>
    <r>
      <rPr>
        <sz val="9"/>
        <color rgb="FF7A3200"/>
        <rFont val="Cambria"/>
        <family val="0"/>
        <charset val="1"/>
      </rPr>
      <t xml:space="preserve">2026</t>
    </r>
    <r>
      <rPr>
        <sz val="9"/>
        <color rgb="FF7A3200"/>
        <rFont val="Noto Sans CJK SC"/>
        <family val="2"/>
      </rPr>
      <t xml:space="preserve">년 </t>
    </r>
    <r>
      <rPr>
        <sz val="9"/>
        <color rgb="FF7A3200"/>
        <rFont val="Cambria"/>
        <family val="0"/>
        <charset val="1"/>
      </rPr>
      <t xml:space="preserve">12</t>
    </r>
    <r>
      <rPr>
        <sz val="9"/>
        <color rgb="FF7A3200"/>
        <rFont val="Noto Sans CJK SC"/>
        <family val="2"/>
      </rPr>
      <t xml:space="preserve">월 </t>
    </r>
    <r>
      <rPr>
        <sz val="9"/>
        <color rgb="FF7A3200"/>
        <rFont val="Cambria"/>
        <family val="0"/>
        <charset val="1"/>
      </rPr>
      <t xml:space="preserve">Phase 3 </t>
    </r>
    <r>
      <rPr>
        <sz val="9"/>
        <color rgb="FF7A3200"/>
        <rFont val="Noto Sans CJK SC"/>
        <family val="2"/>
      </rPr>
      <t xml:space="preserve">게이트에서 확보됩니다</t>
    </r>
    <r>
      <rPr>
        <sz val="9"/>
        <color rgb="FF7A3200"/>
        <rFont val="Cambria"/>
        <family val="0"/>
        <charset val="1"/>
      </rPr>
      <t xml:space="preserve">.</t>
    </r>
  </si>
  <si>
    <r>
      <rPr>
        <sz val="9"/>
        <color rgb="FF7A3200"/>
        <rFont val="Cambria"/>
        <family val="0"/>
        <charset val="1"/>
      </rPr>
      <t xml:space="preserve">4. </t>
    </r>
    <r>
      <rPr>
        <sz val="9"/>
        <color rgb="FF7A3200"/>
        <rFont val="Noto Sans CJK SC"/>
        <family val="2"/>
      </rPr>
      <t xml:space="preserve">계절성</t>
    </r>
    <r>
      <rPr>
        <sz val="9"/>
        <color rgb="FF7A3200"/>
        <rFont val="Cambria"/>
        <family val="0"/>
        <charset val="1"/>
      </rPr>
      <t xml:space="preserve">(</t>
    </r>
    <r>
      <rPr>
        <sz val="9"/>
        <color rgb="FF7A3200"/>
        <rFont val="Noto Sans CJK SC"/>
        <family val="2"/>
      </rPr>
      <t xml:space="preserve">폭염</t>
    </r>
    <r>
      <rPr>
        <sz val="9"/>
        <color rgb="FF7A3200"/>
        <rFont val="Cambria"/>
        <family val="0"/>
        <charset val="1"/>
      </rPr>
      <t xml:space="preserve">·</t>
    </r>
    <r>
      <rPr>
        <sz val="9"/>
        <color rgb="FF7A3200"/>
        <rFont val="Noto Sans CJK SC"/>
        <family val="2"/>
      </rPr>
      <t xml:space="preserve">한파</t>
    </r>
    <r>
      <rPr>
        <sz val="9"/>
        <color rgb="FF7A3200"/>
        <rFont val="Cambria"/>
        <family val="0"/>
        <charset val="1"/>
      </rPr>
      <t xml:space="preserve">), </t>
    </r>
    <r>
      <rPr>
        <sz val="9"/>
        <color rgb="FF7A3200"/>
        <rFont val="Noto Sans CJK SC"/>
        <family val="2"/>
      </rPr>
      <t xml:space="preserve">환불</t>
    </r>
    <r>
      <rPr>
        <sz val="9"/>
        <color rgb="FF7A3200"/>
        <rFont val="Cambria"/>
        <family val="0"/>
        <charset val="1"/>
      </rPr>
      <t xml:space="preserve">/</t>
    </r>
    <r>
      <rPr>
        <sz val="9"/>
        <color rgb="FF7A3200"/>
        <rFont val="Noto Sans CJK SC"/>
        <family val="2"/>
      </rPr>
      <t xml:space="preserve">분쟁</t>
    </r>
    <r>
      <rPr>
        <sz val="9"/>
        <color rgb="FF7A3200"/>
        <rFont val="Cambria"/>
        <family val="0"/>
        <charset val="1"/>
      </rPr>
      <t xml:space="preserve">, </t>
    </r>
    <r>
      <rPr>
        <sz val="9"/>
        <color rgb="FF7A3200"/>
        <rFont val="Noto Sans CJK SC"/>
        <family val="2"/>
      </rPr>
      <t xml:space="preserve">세금</t>
    </r>
    <r>
      <rPr>
        <sz val="9"/>
        <color rgb="FF7A3200"/>
        <rFont val="Cambria"/>
        <family val="0"/>
        <charset val="1"/>
      </rPr>
      <t xml:space="preserve">, </t>
    </r>
    <r>
      <rPr>
        <sz val="9"/>
        <color rgb="FF7A3200"/>
        <rFont val="Noto Sans CJK SC"/>
        <family val="2"/>
      </rPr>
      <t xml:space="preserve">창업자 인건비는 이 모델에 포함되어 있지 않습니다</t>
    </r>
    <r>
      <rPr>
        <sz val="9"/>
        <color rgb="FF7A3200"/>
        <rFont val="Cambria"/>
        <family val="0"/>
        <charset val="1"/>
      </rPr>
      <t xml:space="preserve">. </t>
    </r>
    <r>
      <rPr>
        <sz val="9"/>
        <color rgb="FF7A3200"/>
        <rFont val="Noto Sans CJK SC"/>
        <family val="2"/>
      </rPr>
      <t xml:space="preserve">창업자 생활비</t>
    </r>
    <r>
      <rPr>
        <sz val="9"/>
        <color rgb="FF7A3200"/>
        <rFont val="Cambria"/>
        <family val="0"/>
        <charset val="1"/>
      </rPr>
      <t xml:space="preserve">·</t>
    </r>
    <r>
      <rPr>
        <sz val="9"/>
        <color rgb="FF7A3200"/>
        <rFont val="Noto Sans CJK SC"/>
        <family val="2"/>
      </rPr>
      <t xml:space="preserve">개발</t>
    </r>
    <r>
      <rPr>
        <sz val="9"/>
        <color rgb="FF7A3200"/>
        <rFont val="Cambria"/>
        <family val="0"/>
        <charset val="1"/>
      </rPr>
      <t xml:space="preserve">·</t>
    </r>
    <r>
      <rPr>
        <sz val="9"/>
        <color rgb="FF7A3200"/>
        <rFont val="Noto Sans CJK SC"/>
        <family val="2"/>
      </rPr>
      <t xml:space="preserve">법률 비용은 별도 자금사용계획</t>
    </r>
    <r>
      <rPr>
        <sz val="9"/>
        <color rgb="FF7A3200"/>
        <rFont val="Cambria"/>
        <family val="0"/>
        <charset val="1"/>
      </rPr>
      <t xml:space="preserve">(financial-slides.md </t>
    </r>
    <r>
      <rPr>
        <sz val="9"/>
        <color rgb="FF7A3200"/>
        <rFont val="Noto Sans CJK SC"/>
        <family val="2"/>
      </rPr>
      <t xml:space="preserve">슬라이드 </t>
    </r>
    <r>
      <rPr>
        <sz val="9"/>
        <color rgb="FF7A3200"/>
        <rFont val="Cambria"/>
        <family val="0"/>
        <charset val="1"/>
      </rPr>
      <t xml:space="preserve">B) </t>
    </r>
    <r>
      <rPr>
        <sz val="9"/>
        <color rgb="FF7A3200"/>
        <rFont val="Noto Sans CJK SC"/>
        <family val="2"/>
      </rPr>
      <t xml:space="preserve">참조</t>
    </r>
    <r>
      <rPr>
        <sz val="9"/>
        <color rgb="FF7A3200"/>
        <rFont val="Cambria"/>
        <family val="0"/>
        <charset val="1"/>
      </rPr>
      <t xml:space="preserve">.</t>
    </r>
  </si>
  <si>
    <r>
      <rPr>
        <sz val="9"/>
        <color rgb="FF7A3200"/>
        <rFont val="Cambria"/>
        <family val="0"/>
        <charset val="1"/>
      </rPr>
      <t xml:space="preserve">5. </t>
    </r>
    <r>
      <rPr>
        <sz val="9"/>
        <color rgb="FF7A3200"/>
        <rFont val="Noto Sans CJK SC"/>
        <family val="2"/>
      </rPr>
      <t xml:space="preserve">노란색 셀 </t>
    </r>
    <r>
      <rPr>
        <sz val="9"/>
        <color rgb="FF7A3200"/>
        <rFont val="Cambria"/>
        <family val="0"/>
        <charset val="1"/>
      </rPr>
      <t xml:space="preserve">= </t>
    </r>
    <r>
      <rPr>
        <sz val="9"/>
        <color rgb="FF7A3200"/>
        <rFont val="Noto Sans CJK SC"/>
        <family val="2"/>
      </rPr>
      <t xml:space="preserve">핵심 레버</t>
    </r>
    <r>
      <rPr>
        <sz val="9"/>
        <color rgb="FF7A3200"/>
        <rFont val="Cambria"/>
        <family val="0"/>
        <charset val="1"/>
      </rPr>
      <t xml:space="preserve">(</t>
    </r>
    <r>
      <rPr>
        <sz val="9"/>
        <color rgb="FF7A3200"/>
        <rFont val="Noto Sans CJK SC"/>
        <family val="2"/>
      </rPr>
      <t xml:space="preserve">테이크레이트</t>
    </r>
    <r>
      <rPr>
        <sz val="9"/>
        <color rgb="FF7A3200"/>
        <rFont val="Cambria"/>
        <family val="0"/>
        <charset val="1"/>
      </rPr>
      <t xml:space="preserve">·</t>
    </r>
    <r>
      <rPr>
        <sz val="9"/>
        <color rgb="FF7A3200"/>
        <rFont val="Noto Sans CJK SC"/>
        <family val="2"/>
      </rPr>
      <t xml:space="preserve">리텐션</t>
    </r>
    <r>
      <rPr>
        <sz val="9"/>
        <color rgb="FF7A3200"/>
        <rFont val="Cambria"/>
        <family val="0"/>
        <charset val="1"/>
      </rPr>
      <t xml:space="preserve">). </t>
    </r>
    <r>
      <rPr>
        <sz val="9"/>
        <color rgb="FF7A3200"/>
        <rFont val="Noto Sans CJK SC"/>
        <family val="2"/>
      </rPr>
      <t xml:space="preserve">이 두 값을 바꾸면 결론이 바뀝니다 — 그것이 이 모델의 요점입니다</t>
    </r>
    <r>
      <rPr>
        <sz val="9"/>
        <color rgb="FF7A3200"/>
        <rFont val="Cambria"/>
        <family val="0"/>
        <charset val="1"/>
      </rPr>
      <t xml:space="preserve">.</t>
    </r>
  </si>
  <si>
    <r>
      <rPr>
        <b val="true"/>
        <sz val="11"/>
        <color rgb="FFFFFFFF"/>
        <rFont val="Cambria"/>
        <family val="0"/>
        <charset val="1"/>
      </rPr>
      <t xml:space="preserve">1. </t>
    </r>
    <r>
      <rPr>
        <b val="true"/>
        <sz val="11"/>
        <color rgb="FFFFFFFF"/>
        <rFont val="Noto Sans CJK SC"/>
        <family val="2"/>
      </rPr>
      <t xml:space="preserve">기본 케이스 핵심 지표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모델 기본값</t>
    </r>
    <r>
      <rPr>
        <b val="true"/>
        <sz val="11"/>
        <color rgb="FFFFFFFF"/>
        <rFont val="Cambria"/>
        <family val="0"/>
        <charset val="1"/>
      </rPr>
      <t xml:space="preserve">: </t>
    </r>
    <r>
      <rPr>
        <b val="true"/>
        <sz val="11"/>
        <color rgb="FFFFFFFF"/>
        <rFont val="Noto Sans CJK SC"/>
        <family val="2"/>
      </rPr>
      <t xml:space="preserve">테이크 </t>
    </r>
    <r>
      <rPr>
        <b val="true"/>
        <sz val="11"/>
        <color rgb="FFFFFFFF"/>
        <rFont val="Cambria"/>
        <family val="0"/>
        <charset val="1"/>
      </rPr>
      <t xml:space="preserve">20% × </t>
    </r>
    <r>
      <rPr>
        <b val="true"/>
        <sz val="11"/>
        <color rgb="FFFFFFFF"/>
        <rFont val="Noto Sans CJK SC"/>
        <family val="2"/>
      </rPr>
      <t xml:space="preserve">월 리텐션 </t>
    </r>
    <r>
      <rPr>
        <b val="true"/>
        <sz val="11"/>
        <color rgb="FFFFFFFF"/>
        <rFont val="Cambria"/>
        <family val="0"/>
        <charset val="1"/>
      </rPr>
      <t xml:space="preserve">70%)</t>
    </r>
  </si>
  <si>
    <t xml:space="preserve">지표</t>
  </si>
  <si>
    <t xml:space="preserve">값</t>
  </si>
  <si>
    <t xml:space="preserve">단위</t>
  </si>
  <si>
    <t xml:space="preserve">출처 / 라벨</t>
  </si>
  <si>
    <t xml:space="preserve">런 1회 GMV</t>
  </si>
  <si>
    <t xml:space="preserve">₩</t>
  </si>
  <si>
    <t xml:space="preserve">앱 가격정책 9,900 + 3,000/km × 5km [가설: 평균거리]</t>
  </si>
  <si>
    <t xml:space="preserve">런 1회 순기여</t>
  </si>
  <si>
    <t xml:space="preserve">테이크 − PG − 보험</t>
  </si>
  <si>
    <t xml:space="preserve">멤버십 가격</t>
  </si>
  <si>
    <r>
      <rPr>
        <sz val="10"/>
        <rFont val="Cambria"/>
        <family val="0"/>
        <charset val="1"/>
      </rPr>
      <t xml:space="preserve">₩/</t>
    </r>
    <r>
      <rPr>
        <sz val="10"/>
        <rFont val="Noto Sans CJK SC"/>
        <family val="2"/>
      </rPr>
      <t xml:space="preserve">월</t>
    </r>
  </si>
  <si>
    <r>
      <rPr>
        <i val="true"/>
        <sz val="9"/>
        <color rgb="FF6B6B6B"/>
        <rFont val="Cambria"/>
        <family val="0"/>
        <charset val="1"/>
      </rPr>
      <t xml:space="preserve">[</t>
    </r>
    <r>
      <rPr>
        <i val="true"/>
        <sz val="9"/>
        <color rgb="FF6B6B6B"/>
        <rFont val="Noto Sans CJK SC"/>
        <family val="2"/>
      </rPr>
      <t xml:space="preserve">가설</t>
    </r>
    <r>
      <rPr>
        <i val="true"/>
        <sz val="9"/>
        <color rgb="FF6B6B6B"/>
        <rFont val="Cambria"/>
        <family val="0"/>
        <charset val="1"/>
      </rPr>
      <t xml:space="preserve">] 199–299k </t>
    </r>
    <r>
      <rPr>
        <i val="true"/>
        <sz val="9"/>
        <color rgb="FF6B6B6B"/>
        <rFont val="Noto Sans CJK SC"/>
        <family val="2"/>
      </rPr>
      <t xml:space="preserve">대역 중간값</t>
    </r>
    <r>
      <rPr>
        <i val="true"/>
        <sz val="9"/>
        <color rgb="FF6B6B6B"/>
        <rFont val="Cambria"/>
        <family val="0"/>
        <charset val="1"/>
      </rPr>
      <t xml:space="preserve">, </t>
    </r>
    <r>
      <rPr>
        <i val="true"/>
        <sz val="9"/>
        <color rgb="FF6B6B6B"/>
        <rFont val="Noto Sans CJK SC"/>
        <family val="2"/>
      </rPr>
      <t xml:space="preserve">주 </t>
    </r>
    <r>
      <rPr>
        <i val="true"/>
        <sz val="9"/>
        <color rgb="FF6B6B6B"/>
        <rFont val="Cambria"/>
        <family val="0"/>
        <charset val="1"/>
      </rPr>
      <t xml:space="preserve">2–3</t>
    </r>
    <r>
      <rPr>
        <i val="true"/>
        <sz val="9"/>
        <color rgb="FF6B6B6B"/>
        <rFont val="Noto Sans CJK SC"/>
        <family val="2"/>
      </rPr>
      <t xml:space="preserve">회</t>
    </r>
  </si>
  <si>
    <t xml:space="preserve">도그-월 순기여</t>
  </si>
  <si>
    <t xml:space="preserve">이 사업의 실질 단위 매출</t>
  </si>
  <si>
    <t xml:space="preserve">기대 수명</t>
  </si>
  <si>
    <t xml:space="preserve">개월</t>
  </si>
  <si>
    <t xml:space="preserve">수식: 1 ÷ (1 − 월 리텐션) [가설: 기하분포]</t>
  </si>
  <si>
    <t xml:space="preserve">LTV</t>
  </si>
  <si>
    <t xml:space="preserve">도그-월 순기여 × 기대 수명</t>
  </si>
  <si>
    <t xml:space="preserve">최저 CAC 채널 LTV:CAC (한강 이벤트)</t>
  </si>
  <si>
    <t xml:space="preserve">배</t>
  </si>
  <si>
    <r>
      <rPr>
        <i val="true"/>
        <sz val="9"/>
        <color rgb="FF6B6B6B"/>
        <rFont val="Cambria"/>
        <family val="0"/>
        <charset val="1"/>
      </rPr>
      <t xml:space="preserve">[</t>
    </r>
    <r>
      <rPr>
        <i val="true"/>
        <sz val="9"/>
        <color rgb="FF6B6B6B"/>
        <rFont val="Noto Sans CJK SC"/>
        <family val="2"/>
      </rPr>
      <t xml:space="preserve">추정</t>
    </r>
    <r>
      <rPr>
        <i val="true"/>
        <sz val="9"/>
        <color rgb="FF6B6B6B"/>
        <rFont val="Cambria"/>
        <family val="0"/>
        <charset val="1"/>
      </rPr>
      <t xml:space="preserve">] 3.0x </t>
    </r>
    <r>
      <rPr>
        <i val="true"/>
        <sz val="9"/>
        <color rgb="FF6B6B6B"/>
        <rFont val="Noto Sans CJK SC"/>
        <family val="2"/>
      </rPr>
      <t xml:space="preserve">미만은 스케일 금지</t>
    </r>
  </si>
  <si>
    <r>
      <rPr>
        <sz val="10"/>
        <rFont val="Cambria"/>
        <family val="0"/>
        <charset val="1"/>
      </rPr>
      <t xml:space="preserve">12</t>
    </r>
    <r>
      <rPr>
        <sz val="10"/>
        <rFont val="Noto Sans CJK SC"/>
        <family val="2"/>
      </rPr>
      <t xml:space="preserve">개월 </t>
    </r>
    <r>
      <rPr>
        <sz val="10"/>
        <rFont val="Cambria"/>
        <family val="0"/>
        <charset val="1"/>
      </rPr>
      <t xml:space="preserve">GMV (</t>
    </r>
    <r>
      <rPr>
        <sz val="10"/>
        <rFont val="Noto Sans CJK SC"/>
        <family val="2"/>
      </rPr>
      <t xml:space="preserve">단일 동</t>
    </r>
    <r>
      <rPr>
        <sz val="10"/>
        <rFont val="Cambria"/>
        <family val="0"/>
        <charset val="1"/>
      </rPr>
      <t xml:space="preserve">)</t>
    </r>
  </si>
  <si>
    <t xml:space="preserve">모델 Projection 시트</t>
  </si>
  <si>
    <r>
      <rPr>
        <sz val="10"/>
        <rFont val="Cambria"/>
        <family val="0"/>
        <charset val="1"/>
      </rPr>
      <t xml:space="preserve">12</t>
    </r>
    <r>
      <rPr>
        <sz val="10"/>
        <rFont val="Noto Sans CJK SC"/>
        <family val="2"/>
      </rPr>
      <t xml:space="preserve">개월 순플랫폼 수익</t>
    </r>
  </si>
  <si>
    <t xml:space="preserve">테이크 − PG − 보험 합계</t>
  </si>
  <si>
    <r>
      <rPr>
        <sz val="10"/>
        <rFont val="Cambria"/>
        <family val="0"/>
        <charset val="1"/>
      </rPr>
      <t xml:space="preserve">12</t>
    </r>
    <r>
      <rPr>
        <sz val="10"/>
        <rFont val="Noto Sans CJK SC"/>
        <family val="2"/>
      </rPr>
      <t xml:space="preserve">개월 총비용</t>
    </r>
  </si>
  <si>
    <t xml:space="preserve">이벤트·무료런·마케팅·고정운영 (창업자 인건비 제외)</t>
  </si>
  <si>
    <r>
      <rPr>
        <sz val="10"/>
        <rFont val="Cambria"/>
        <family val="0"/>
        <charset val="1"/>
      </rPr>
      <t xml:space="preserve">12</t>
    </r>
    <r>
      <rPr>
        <sz val="10"/>
        <rFont val="Noto Sans CJK SC"/>
        <family val="2"/>
      </rPr>
      <t xml:space="preserve">개월 누적 순현금</t>
    </r>
  </si>
  <si>
    <t xml:space="preserve">⚠️ 음수 — 첫 동은 이익 유닛이 아님</t>
  </si>
  <si>
    <r>
      <rPr>
        <sz val="10"/>
        <rFont val="Cambria"/>
        <family val="0"/>
        <charset val="1"/>
      </rPr>
      <t xml:space="preserve">12</t>
    </r>
    <r>
      <rPr>
        <sz val="10"/>
        <rFont val="Noto Sans CJK SC"/>
        <family val="2"/>
      </rPr>
      <t xml:space="preserve">개월차 유료견</t>
    </r>
  </si>
  <si>
    <t xml:space="preserve">마리</t>
  </si>
  <si>
    <t xml:space="preserve">성장 플래토</t>
  </si>
  <si>
    <r>
      <rPr>
        <sz val="10"/>
        <rFont val="Cambria"/>
        <family val="0"/>
        <charset val="1"/>
      </rPr>
      <t xml:space="preserve">12</t>
    </r>
    <r>
      <rPr>
        <sz val="10"/>
        <rFont val="Noto Sans CJK SC"/>
        <family val="2"/>
      </rPr>
      <t xml:space="preserve">개월차 필요 인증 러너</t>
    </r>
  </si>
  <si>
    <t xml:space="preserve">명</t>
  </si>
  <si>
    <r>
      <rPr>
        <i val="true"/>
        <sz val="9"/>
        <color rgb="FF6B6B6B"/>
        <rFont val="Cambria"/>
        <family val="0"/>
        <charset val="1"/>
      </rPr>
      <t xml:space="preserve">1.5</t>
    </r>
    <r>
      <rPr>
        <i val="true"/>
        <sz val="9"/>
        <color rgb="FF6B6B6B"/>
        <rFont val="Noto Sans CJK SC"/>
        <family val="2"/>
      </rPr>
      <t xml:space="preserve">배 오버서플라이 기준</t>
    </r>
  </si>
  <si>
    <r>
      <rPr>
        <b val="true"/>
        <sz val="11"/>
        <color rgb="FFFFFFFF"/>
        <rFont val="Cambria"/>
        <family val="0"/>
        <charset val="1"/>
      </rPr>
      <t xml:space="preserve">2. 3-</t>
    </r>
    <r>
      <rPr>
        <b val="true"/>
        <sz val="11"/>
        <color rgb="FFFFFFFF"/>
        <rFont val="Noto Sans CJK SC"/>
        <family val="2"/>
      </rPr>
      <t xml:space="preserve">시나리오 비교 — 리텐션 </t>
    </r>
    <r>
      <rPr>
        <b val="true"/>
        <sz val="11"/>
        <color rgb="FFFFFFFF"/>
        <rFont val="Cambria"/>
        <family val="0"/>
        <charset val="1"/>
      </rPr>
      <t xml:space="preserve">60/70/80% × </t>
    </r>
    <r>
      <rPr>
        <b val="true"/>
        <sz val="11"/>
        <color rgb="FFFFFFFF"/>
        <rFont val="Noto Sans CJK SC"/>
        <family val="2"/>
      </rPr>
      <t xml:space="preserve">테이크 </t>
    </r>
    <r>
      <rPr>
        <b val="true"/>
        <sz val="11"/>
        <color rgb="FFFFFFFF"/>
        <rFont val="Cambria"/>
        <family val="0"/>
        <charset val="1"/>
      </rPr>
      <t xml:space="preserve">20/25/25%</t>
    </r>
  </si>
  <si>
    <t xml:space="preserve">노란 셀(리텐션·테이크)만 바꾸면 아래 전 항목이 재계산됩니다. 이 두 레버가 전부입니다.</t>
  </si>
  <si>
    <t xml:space="preserve">항목</t>
  </si>
  <si>
    <t xml:space="preserve">보수 (Conservative)</t>
  </si>
  <si>
    <t xml:space="preserve">기본 (Base)</t>
  </si>
  <si>
    <t xml:space="preserve">낙관 (Optimistic)</t>
  </si>
  <si>
    <t xml:space="preserve">참고: 모델 하드코딩 기본값</t>
  </si>
  <si>
    <t xml:space="preserve">월 리텐션  ← 레버</t>
  </si>
  <si>
    <t xml:space="preserve">플랫폼 테이크레이트  ← 레버</t>
  </si>
  <si>
    <t xml:space="preserve">도그-월 순기여 (₩)</t>
  </si>
  <si>
    <t xml:space="preserve">멤버십가×테이크 − PG − 보험(월 런수×건당)</t>
  </si>
  <si>
    <t xml:space="preserve">기대 수명 (개월)</t>
  </si>
  <si>
    <t xml:space="preserve">수식: 1 ÷ (1 − 월 리텐션)</t>
  </si>
  <si>
    <t xml:space="preserve">LTV (₩)</t>
  </si>
  <si>
    <r>
      <rPr>
        <sz val="10"/>
        <rFont val="Cambria"/>
        <family val="0"/>
        <charset val="1"/>
      </rPr>
      <t xml:space="preserve">LTV : CAC — </t>
    </r>
    <r>
      <rPr>
        <sz val="10"/>
        <rFont val="Noto Sans CJK SC"/>
        <family val="2"/>
      </rPr>
      <t xml:space="preserve">한강 이벤트</t>
    </r>
  </si>
  <si>
    <r>
      <rPr>
        <i val="true"/>
        <sz val="9"/>
        <color rgb="FF6B6B6B"/>
        <rFont val="Cambria"/>
        <family val="0"/>
        <charset val="1"/>
      </rPr>
      <t xml:space="preserve">CAC ₩15,000 [</t>
    </r>
    <r>
      <rPr>
        <i val="true"/>
        <sz val="9"/>
        <color rgb="FF6B6B6B"/>
        <rFont val="Noto Sans CJK SC"/>
        <family val="2"/>
      </rPr>
      <t xml:space="preserve">추정</t>
    </r>
    <r>
      <rPr>
        <i val="true"/>
        <sz val="9"/>
        <color rgb="FF6B6B6B"/>
        <rFont val="Cambria"/>
        <family val="0"/>
        <charset val="1"/>
      </rPr>
      <t xml:space="preserve">]</t>
    </r>
  </si>
  <si>
    <r>
      <rPr>
        <sz val="10"/>
        <rFont val="Cambria"/>
        <family val="0"/>
        <charset val="1"/>
      </rPr>
      <t xml:space="preserve">LTV : CAC — </t>
    </r>
    <r>
      <rPr>
        <sz val="10"/>
        <rFont val="Noto Sans CJK SC"/>
        <family val="2"/>
      </rPr>
      <t xml:space="preserve">멍스타그램 시딩</t>
    </r>
  </si>
  <si>
    <r>
      <rPr>
        <i val="true"/>
        <sz val="9"/>
        <color rgb="FF6B6B6B"/>
        <rFont val="Cambria"/>
        <family val="0"/>
        <charset val="1"/>
      </rPr>
      <t xml:space="preserve">CAC ₩30,000 [</t>
    </r>
    <r>
      <rPr>
        <i val="true"/>
        <sz val="9"/>
        <color rgb="FF6B6B6B"/>
        <rFont val="Noto Sans CJK SC"/>
        <family val="2"/>
      </rPr>
      <t xml:space="preserve">추정</t>
    </r>
    <r>
      <rPr>
        <i val="true"/>
        <sz val="9"/>
        <color rgb="FF6B6B6B"/>
        <rFont val="Cambria"/>
        <family val="0"/>
        <charset val="1"/>
      </rPr>
      <t xml:space="preserve">]</t>
    </r>
  </si>
  <si>
    <t xml:space="preserve">러너 지급 / 런 (₩)</t>
  </si>
  <si>
    <t xml:space="preserve">테이크 인상은 러너 지급을 깎습니다 — 채용 카피 인쇄 전 결정</t>
  </si>
  <si>
    <r>
      <rPr>
        <sz val="10"/>
        <rFont val="Cambria"/>
        <family val="0"/>
        <charset val="1"/>
      </rPr>
      <t xml:space="preserve">LTV : CAC — </t>
    </r>
    <r>
      <rPr>
        <sz val="10"/>
        <rFont val="Noto Sans CJK SC"/>
        <family val="2"/>
      </rPr>
      <t xml:space="preserve">리퍼럴 </t>
    </r>
    <r>
      <rPr>
        <sz val="10"/>
        <rFont val="Cambria"/>
        <family val="0"/>
        <charset val="1"/>
      </rPr>
      <t xml:space="preserve">(</t>
    </r>
    <r>
      <rPr>
        <sz val="10"/>
        <rFont val="Noto Sans CJK SC"/>
        <family val="2"/>
      </rPr>
      <t xml:space="preserve">무료런 </t>
    </r>
    <r>
      <rPr>
        <sz val="10"/>
        <rFont val="Cambria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  <r>
      <rPr>
        <sz val="10"/>
        <rFont val="Cambria"/>
        <family val="0"/>
        <charset val="1"/>
      </rPr>
      <t xml:space="preserve">)</t>
    </r>
  </si>
  <si>
    <t xml:space="preserve">보상을 1회로 낮추면 배수가 2배</t>
  </si>
  <si>
    <r>
      <rPr>
        <sz val="10"/>
        <rFont val="Cambria"/>
        <family val="0"/>
        <charset val="1"/>
      </rPr>
      <t xml:space="preserve">LTV : CAC — </t>
    </r>
    <r>
      <rPr>
        <sz val="10"/>
        <rFont val="Noto Sans CJK SC"/>
        <family val="2"/>
      </rPr>
      <t xml:space="preserve">페이드 인스타그램</t>
    </r>
  </si>
  <si>
    <r>
      <rPr>
        <i val="true"/>
        <sz val="9"/>
        <color rgb="FF6B6B6B"/>
        <rFont val="Cambria"/>
        <family val="0"/>
        <charset val="1"/>
      </rPr>
      <t xml:space="preserve">CAC ₩60,000 [</t>
    </r>
    <r>
      <rPr>
        <i val="true"/>
        <sz val="9"/>
        <color rgb="FF6B6B6B"/>
        <rFont val="Noto Sans CJK SC"/>
        <family val="2"/>
      </rPr>
      <t xml:space="preserve">가설</t>
    </r>
    <r>
      <rPr>
        <i val="true"/>
        <sz val="9"/>
        <color rgb="FF6B6B6B"/>
        <rFont val="Cambria"/>
        <family val="0"/>
        <charset val="1"/>
      </rPr>
      <t xml:space="preserve">] — 3.0x </t>
    </r>
    <r>
      <rPr>
        <i val="true"/>
        <sz val="9"/>
        <color rgb="FF6B6B6B"/>
        <rFont val="Noto Sans CJK SC"/>
        <family val="2"/>
      </rPr>
      <t xml:space="preserve">미만이면 집행 금지</t>
    </r>
  </si>
  <si>
    <t xml:space="preserve">안정상태 유료견 (마리)</t>
  </si>
  <si>
    <t xml:space="preserve">수식: 월 오가닉·이벤트 신규 ÷ (1 − 리텐션 − 리퍼럴계수). 리텐션 10%p가 밀도를 배로 만듭니다</t>
  </si>
  <si>
    <t xml:space="preserve">안정상태 월 순플랫폼 수익 (₩)</t>
  </si>
  <si>
    <t xml:space="preserve">안정상태 월 비용 (₩)</t>
  </si>
  <si>
    <t xml:space="preserve">이벤트 + 고정운영 + 리퍼럴 무료런 보조 (창업자 인건비 제외)</t>
  </si>
  <si>
    <t xml:space="preserve">안정상태 월 순현금 (₩)</t>
  </si>
  <si>
    <t xml:space="preserve">⚠️ 기본 가정에서 첫 동은 월 흑자가 아닙니다</t>
  </si>
  <si>
    <t xml:space="preserve">월 흑자에 필요한 유료견 (마리)</t>
  </si>
  <si>
    <t xml:space="preserve">고정비 ÷ (도그-월 순기여 − 리퍼럴 단위비용)</t>
  </si>
  <si>
    <t xml:space="preserve">  ↳ 이벤트비 스폰서로 절반일 때 (마리)</t>
  </si>
  <si>
    <t xml:space="preserve">스폰서 2슬롯 판매 시 (hangang-event-playbook §2) — 자본 없이 실행 가능한 가장 빠른 레버</t>
  </si>
  <si>
    <t xml:space="preserve">밀도 갭 (안정상태 − 흑자선, 마리)</t>
  </si>
  <si>
    <t xml:space="preserve">양수가 되는 순간 첫 동이 흑자 유닛이 됩니다</t>
  </si>
  <si>
    <r>
      <rPr>
        <b val="true"/>
        <sz val="11"/>
        <color rgb="FFFFFFFF"/>
        <rFont val="Cambria"/>
        <family val="0"/>
        <charset val="1"/>
      </rPr>
      <t xml:space="preserve">3. </t>
    </r>
    <r>
      <rPr>
        <b val="true"/>
        <sz val="11"/>
        <color rgb="FFFFFFFF"/>
        <rFont val="Noto Sans CJK SC"/>
        <family val="2"/>
      </rPr>
      <t xml:space="preserve">이 표에서 읽어야 할 것</t>
    </r>
  </si>
  <si>
    <t xml:space="preserve">① 첫 번째 동은 이익 유닛이 아니라 밀도 증명 유닛(proof-of-density unit)입니다. 기본 가정으로 12개월을 돌리면 월 흑자에 도달하지 않습니다 — 이건 숨기는 게 아니라 의도한 설계입니다.</t>
  </si>
  <si>
    <t xml:space="preserve">② 결론을 바꾸는 레버는 딱 둘입니다: 테이크레이트(20→25%, 도그-월 순기여 +39%)와 월 리텐션(70→80%, 안정상태 밀도 27→50마리). 볼륨이 아닙니다.</t>
  </si>
  <si>
    <t xml:space="preserve">③ 세 번째 레버는 비용 쪽입니다: 이벤트 스폰서십으로 이벤트비를 절반으로 낮추면 흑자선이 크게 내려옵니다. 자본 없이 지금 실행 가능합니다.</t>
  </si>
  <si>
    <t xml:space="preserve">④ 리퍼럴(무료런 2회 양측)은 기본 가정에서 LTV:CAC 3.0x 미만입니다 — 보상 축소 또는 리퍼럴 코호트 리텐션 우위 입증 전까지 스케일 금지.</t>
  </si>
  <si>
    <t xml:space="preserve">⑤ 이번 라운드가 사는 것: "한 동에서 유료견 50마리 × 테이크 25% × 리텐션 80%"라는 가설을 2026년 12월까지 실데이터로 판정하는 것. 그 판정 자체가 자금 사용의 목적입니다.</t>
  </si>
  <si>
    <t xml:space="preserve">다른 시트: Assumptions(모든 입력값) · UnitEcon(런/도그-월 경제학, LTV 민감도 그리드, 채널별 CAC) · Projection(단일 동 12개월) · Supply(수요별 필요 러너)</t>
  </si>
  <si>
    <r>
      <rPr>
        <b val="true"/>
        <sz val="13"/>
        <rFont val="Arial"/>
        <family val="0"/>
        <charset val="1"/>
      </rPr>
      <t xml:space="preserve">DOGS HIGH — Single-</t>
    </r>
    <r>
      <rPr>
        <b val="true"/>
        <sz val="13"/>
        <rFont val="Noto Sans CJK SC"/>
        <family val="2"/>
      </rPr>
      <t xml:space="preserve">동 </t>
    </r>
    <r>
      <rPr>
        <b val="true"/>
        <sz val="13"/>
        <rFont val="Arial"/>
        <family val="0"/>
        <charset val="1"/>
      </rPr>
      <t xml:space="preserve">Growth Model</t>
    </r>
  </si>
  <si>
    <t xml:space="preserve">Built 2026-07-30. Companion to docs/marketing-fundraising.md §3 (90-day playbook) and docs/positioning.md.</t>
  </si>
  <si>
    <t xml:space="preserve">HOW TO USE</t>
  </si>
  <si>
    <t xml:space="preserve">Blue text = hardcoded input you can edit. Yellow fill = the key levers. Black = formula, do not overwrite. Green = pulls from another sheet.</t>
  </si>
  <si>
    <t xml:space="preserve">All ₩ amounts are KRW. All rates are stored as fractions (0.20 = 20%).</t>
  </si>
  <si>
    <r>
      <rPr>
        <sz val="10"/>
        <rFont val="Arial"/>
        <family val="0"/>
        <charset val="1"/>
      </rPr>
      <t xml:space="preserve">Every number here is a hypothesis from docs/ (pricing 9,900 + 3,000/km; membership ₩199–299k guess; </t>
    </r>
    <r>
      <rPr>
        <sz val="10"/>
        <rFont val="Noto Sans CJK SC"/>
        <family val="2"/>
      </rPr>
      <t xml:space="preserve">비포펫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와요 </t>
    </r>
    <r>
      <rPr>
        <sz val="10"/>
        <rFont val="Arial"/>
        <family val="0"/>
        <charset val="1"/>
      </rPr>
      <t xml:space="preserve">anchors). Replace with real data as it arrives.</t>
    </r>
  </si>
  <si>
    <t xml:space="preserve">WHAT THE BASE CASE ALREADY SHOWS (spoilers)</t>
  </si>
  <si>
    <t xml:space="preserve">1. At 20% take, net contribution is only ~₩31.6k per dog-month after PG fees + insurance — LTV at 70% retention ≈ ₩105k. The business is take-rate- and retention-sensitive, not volume-sensitive. Try 25% take x 80% retention on the UnitEcon sensitivity grid.</t>
  </si>
  <si>
    <t xml:space="preserve">2. The Phase-3 fundraising target (≥50 paying dogs by ~month 3) does NOT fall out of a 40-dog founding cohort at 40% conversion — it needs a bigger cohort (~80+ dogs) or &gt;60% conversion. Edit Assumptions B21/B23 and watch Projection row 7.</t>
  </si>
  <si>
    <r>
      <rPr>
        <sz val="10"/>
        <rFont val="Arial"/>
        <family val="0"/>
        <charset val="1"/>
      </rPr>
      <t xml:space="preserve">3. With events at 4x/mo the single </t>
    </r>
    <r>
      <rPr>
        <sz val="10"/>
        <rFont val="Noto Sans CJK SC"/>
        <family val="2"/>
      </rPr>
      <t xml:space="preserve">동 </t>
    </r>
    <r>
      <rPr>
        <sz val="10"/>
        <rFont val="Arial"/>
        <family val="0"/>
        <charset val="1"/>
      </rPr>
      <t xml:space="preserve">plateaus (~27-30 active dogs on base referral/organic rates) below monthly cost coverage — the first </t>
    </r>
    <r>
      <rPr>
        <sz val="10"/>
        <rFont val="Noto Sans CJK SC"/>
        <family val="2"/>
      </rPr>
      <t xml:space="preserve">동 </t>
    </r>
    <r>
      <rPr>
        <sz val="10"/>
        <rFont val="Arial"/>
        <family val="0"/>
        <charset val="1"/>
      </rPr>
      <t xml:space="preserve">is a proof-of-density unit, not a profit unit. That is a fine story IF stated on purpose in the deck.</t>
    </r>
  </si>
  <si>
    <r>
      <rPr>
        <sz val="10"/>
        <rFont val="Arial"/>
        <family val="0"/>
        <charset val="1"/>
      </rPr>
      <t xml:space="preserve">4. Referral's true cost (2 x runner payout ≈ ₩39.8k) lands at ~2.6x LTV:CAC — BELOW the 3x bar at base case. It works only if referred dogs retain better than average (they usually do) or if the reward drops to 1 free run. Cleanest channels at base case: events (~7x) and </t>
    </r>
    <r>
      <rPr>
        <sz val="10"/>
        <rFont val="Noto Sans CJK SC"/>
        <family val="2"/>
      </rPr>
      <t xml:space="preserve">멍스타그램 </t>
    </r>
    <r>
      <rPr>
        <sz val="10"/>
        <rFont val="Arial"/>
        <family val="0"/>
        <charset val="1"/>
      </rPr>
      <t xml:space="preserve">seeding (~3.5x).</t>
    </r>
  </si>
  <si>
    <t xml:space="preserve">SHEETS</t>
  </si>
  <si>
    <r>
      <rPr>
        <sz val="10"/>
        <rFont val="Arial"/>
        <family val="0"/>
        <charset val="1"/>
      </rPr>
      <t xml:space="preserve">Assumptions — every input in one place. UnitEcon — per-run and per-dog-month economics, LTV sensitivity (take x retention), CAC by channel. Projection — 12-month single-</t>
    </r>
    <r>
      <rPr>
        <sz val="10"/>
        <rFont val="Noto Sans CJK SC"/>
        <family val="2"/>
      </rPr>
      <t xml:space="preserve">동 </t>
    </r>
    <r>
      <rPr>
        <sz val="10"/>
        <rFont val="Arial"/>
        <family val="0"/>
        <charset val="1"/>
      </rPr>
      <t xml:space="preserve">monthly model. Supply — runners needed per demand level.</t>
    </r>
  </si>
  <si>
    <t xml:space="preserve">Assumptions — edit blue cells; yellow = key levers</t>
  </si>
  <si>
    <t xml:space="preserve">PRICING &amp; PRODUCT</t>
  </si>
  <si>
    <t xml:space="preserve">Base fare per run (₩)</t>
  </si>
  <si>
    <t xml:space="preserve">From app pricing: 9,900 + km x 3,000 (hi-club approval pricing)</t>
  </si>
  <si>
    <t xml:space="preserve">Per-km rate (₩/km)</t>
  </si>
  <si>
    <t xml:space="preserve">Avg run distance (km)</t>
  </si>
  <si>
    <t xml:space="preserve">Hypothesis — replace with real avg from runs table</t>
  </si>
  <si>
    <t xml:space="preserve">Avg GMV per run (₩)</t>
  </si>
  <si>
    <t xml:space="preserve">Membership price (₩/mo)</t>
  </si>
  <si>
    <r>
      <rPr>
        <i val="true"/>
        <sz val="9"/>
        <color rgb="FF666666"/>
        <rFont val="Arial"/>
        <family val="0"/>
        <charset val="1"/>
      </rPr>
      <t xml:space="preserve">Playbook hypothesis ₩199–299k for </t>
    </r>
    <r>
      <rPr>
        <i val="true"/>
        <sz val="9"/>
        <color rgb="FF666666"/>
        <rFont val="Noto Sans CJK SC"/>
        <family val="2"/>
      </rPr>
      <t xml:space="preserve">주 </t>
    </r>
    <r>
      <rPr>
        <i val="true"/>
        <sz val="9"/>
        <color rgb="FF666666"/>
        <rFont val="Arial"/>
        <family val="0"/>
        <charset val="1"/>
      </rPr>
      <t xml:space="preserve">2–3</t>
    </r>
    <r>
      <rPr>
        <i val="true"/>
        <sz val="9"/>
        <color rgb="FF666666"/>
        <rFont val="Noto Sans CJK SC"/>
        <family val="2"/>
      </rPr>
      <t xml:space="preserve">회 — </t>
    </r>
    <r>
      <rPr>
        <i val="true"/>
        <sz val="9"/>
        <color rgb="FF666666"/>
        <rFont val="Arial"/>
        <family val="0"/>
        <charset val="1"/>
      </rPr>
      <t xml:space="preserve">midpoint</t>
    </r>
  </si>
  <si>
    <t xml:space="preserve">Runs per member dog / month</t>
  </si>
  <si>
    <t xml:space="preserve">주 2–3회 ≈ 10/mo</t>
  </si>
  <si>
    <t xml:space="preserve">Effective per-run price on membership (₩)</t>
  </si>
  <si>
    <t xml:space="preserve">Sanity check vs B7 — membership should be ≈ or slightly below single-run price</t>
  </si>
  <si>
    <t xml:space="preserve">MARKETPLACE ECONOMICS</t>
  </si>
  <si>
    <t xml:space="preserve">Platform take rate</t>
  </si>
  <si>
    <r>
      <rPr>
        <i val="true"/>
        <sz val="9"/>
        <color rgb="FF666666"/>
        <rFont val="Arial"/>
        <family val="0"/>
        <charset val="1"/>
      </rPr>
      <t xml:space="preserve">Hypothesis. </t>
    </r>
    <r>
      <rPr>
        <i val="true"/>
        <sz val="9"/>
        <color rgb="FF666666"/>
        <rFont val="Noto Sans CJK SC"/>
        <family val="2"/>
      </rPr>
      <t xml:space="preserve">와요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비포펫</t>
    </r>
    <r>
      <rPr>
        <i val="true"/>
        <sz val="9"/>
        <color rgb="FF666666"/>
        <rFont val="Arial"/>
        <family val="0"/>
        <charset val="1"/>
      </rPr>
      <t xml:space="preserve">-type marketplaces run 15–30%</t>
    </r>
  </si>
  <si>
    <t xml:space="preserve">PG fee (% of GMV)</t>
  </si>
  <si>
    <r>
      <rPr>
        <i val="true"/>
        <sz val="9"/>
        <color rgb="FF666666"/>
        <rFont val="Arial"/>
        <family val="0"/>
        <charset val="1"/>
      </rPr>
      <t xml:space="preserve">Typical KR PG (</t>
    </r>
    <r>
      <rPr>
        <i val="true"/>
        <sz val="9"/>
        <color rgb="FF666666"/>
        <rFont val="Noto Sans CJK SC"/>
        <family val="2"/>
      </rPr>
      <t xml:space="preserve">카드</t>
    </r>
    <r>
      <rPr>
        <i val="true"/>
        <sz val="9"/>
        <color rgb="FF666666"/>
        <rFont val="Arial"/>
        <family val="0"/>
        <charset val="1"/>
      </rPr>
      <t xml:space="preserve">) ~3.3% incl VAT — verify with PG quote</t>
    </r>
  </si>
  <si>
    <t xml:space="preserve">Insurance cost per run (₩)</t>
  </si>
  <si>
    <t xml:space="preserve">Hypothesis — no quote yet; bundled per-booking cover is a marketing asset (only 12.8% of owners insured, KB 2025)</t>
  </si>
  <si>
    <t xml:space="preserve">Runner payout share</t>
  </si>
  <si>
    <t xml:space="preserve">Runner payout per avg run (₩)</t>
  </si>
  <si>
    <t xml:space="preserve">Recruiting math: ~40min run + handover ≈ 1h → compare vs 2026 min wage ₩10,320/h</t>
  </si>
  <si>
    <t xml:space="preserve">DEMAND &amp; RETENTION</t>
  </si>
  <si>
    <t xml:space="preserve">Monthly member retention (base)</t>
  </si>
  <si>
    <t xml:space="preserve">THE number. 60/70/80% scenarios on UnitEcon grid</t>
  </si>
  <si>
    <t xml:space="preserve">Founding cohort (free-run dogs)</t>
  </si>
  <si>
    <t xml:space="preserve">Playbook says 30–50; 50-dog Phase-3 target wants ~80+ here (see ReadMe)</t>
  </si>
  <si>
    <t xml:space="preserve">Free runs per founding dog</t>
  </si>
  <si>
    <t xml:space="preserve">Founding → paid conversion</t>
  </si>
  <si>
    <t xml:space="preserve">Hypothesis — free-trial-to-paid for high-touch local services 30–50%</t>
  </si>
  <si>
    <t xml:space="preserve">Referral: new dogs per active dog / mo</t>
  </si>
  <si>
    <t xml:space="preserve">Hypothesis — 1 referred dog per ~12 active dogs per month</t>
  </si>
  <si>
    <t xml:space="preserve">Organic + event new dogs / mo</t>
  </si>
  <si>
    <r>
      <rPr>
        <i val="true"/>
        <sz val="9"/>
        <color rgb="FF666666"/>
        <rFont val="Arial"/>
        <family val="0"/>
        <charset val="1"/>
      </rPr>
      <t xml:space="preserve">Saturday event conversions + </t>
    </r>
    <r>
      <rPr>
        <i val="true"/>
        <sz val="9"/>
        <color rgb="FF666666"/>
        <rFont val="Noto Sans CJK SC"/>
        <family val="2"/>
      </rPr>
      <t xml:space="preserve">당근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카페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플레이스 </t>
    </r>
    <r>
      <rPr>
        <i val="true"/>
        <sz val="9"/>
        <color rgb="FF666666"/>
        <rFont val="Arial"/>
        <family val="0"/>
        <charset val="1"/>
      </rPr>
      <t xml:space="preserve">inbound, from month 2</t>
    </r>
  </si>
  <si>
    <t xml:space="preserve">COSTS</t>
  </si>
  <si>
    <t xml:space="preserve">Event cost per event (₩)</t>
  </si>
  <si>
    <t xml:space="preserve">Playbook ₩300–500k: bibs, banner, water, treats — halves with a snack sponsor</t>
  </si>
  <si>
    <t xml:space="preserve">Events per month</t>
  </si>
  <si>
    <t xml:space="preserve">Fixed opex / mo (₩)</t>
  </si>
  <si>
    <t xml:space="preserve">Tools, print/QR, misc — pre-salary scrappy mode</t>
  </si>
  <si>
    <t xml:space="preserve">RUNNER SUPPLY</t>
  </si>
  <si>
    <t xml:space="preserve">Runner capacity (runs / week)</t>
  </si>
  <si>
    <t xml:space="preserve">Part-time student/crew runner ~2 runs x 4 days</t>
  </si>
  <si>
    <t xml:space="preserve">Oversupply factor</t>
  </si>
  <si>
    <t xml:space="preserve">Owners must never see an empty map</t>
  </si>
  <si>
    <t xml:space="preserve">Weeks per month</t>
  </si>
  <si>
    <t xml:space="preserve">CAC HYPOTHESES (₩ per acquired PAYING dog)</t>
  </si>
  <si>
    <t xml:space="preserve">Han River event</t>
  </si>
  <si>
    <t xml:space="preserve">Event cost ÷ expected conversions — refine with real data</t>
  </si>
  <si>
    <t xml:space="preserve">멍스타그램 seeding</t>
  </si>
  <si>
    <t xml:space="preserve">Gifted runs ÷ attributed signups</t>
  </si>
  <si>
    <t xml:space="preserve">Referral (2 free runs, both sides)</t>
  </si>
  <si>
    <t xml:space="preserve">Real cost = 2 x runner payout</t>
  </si>
  <si>
    <t xml:space="preserve">Paid Instagram</t>
  </si>
  <si>
    <t xml:space="preserve">Hypothesis — do not scale until organic CAC known (playbook rule)</t>
  </si>
  <si>
    <t xml:space="preserve">Unit economics</t>
  </si>
  <si>
    <t xml:space="preserve">PER RUN</t>
  </si>
  <si>
    <t xml:space="preserve">GMV per run</t>
  </si>
  <si>
    <t xml:space="preserve">Platform take</t>
  </si>
  <si>
    <t xml:space="preserve">PG fee</t>
  </si>
  <si>
    <t xml:space="preserve">Insurance</t>
  </si>
  <si>
    <t xml:space="preserve">Net contribution per run</t>
  </si>
  <si>
    <t xml:space="preserve">PER DOG-MONTH (membership)</t>
  </si>
  <si>
    <t xml:space="preserve">GMV per dog-month</t>
  </si>
  <si>
    <t xml:space="preserve">Net contribution per dog-month</t>
  </si>
  <si>
    <t xml:space="preserve">Expected lifetime (months)</t>
  </si>
  <si>
    <t xml:space="preserve">LTV SENSITIVITY — take rate (rows) x monthly retention (cols)</t>
  </si>
  <si>
    <t xml:space="preserve">take ↓ / retention →</t>
  </si>
  <si>
    <t xml:space="preserve">CAC BY CHANNEL vs LTV (base case)</t>
  </si>
  <si>
    <t xml:space="preserve">Channel</t>
  </si>
  <si>
    <t xml:space="preserve">CAC</t>
  </si>
  <si>
    <t xml:space="preserve">LTV : CAC</t>
  </si>
  <si>
    <t xml:space="preserve">Referral</t>
  </si>
  <si>
    <t xml:space="preserve">Rule of thumb: scale nothing below 3.0x. Base case: event 7.0x and seeding 3.5x clear it; referral 2.6x needs better-retaining referees or a 1-run reward; paid IG 1.75x — do not scale.</t>
  </si>
  <si>
    <t xml:space="preserve">Month</t>
  </si>
  <si>
    <t xml:space="preserve">New — founding conversion</t>
  </si>
  <si>
    <t xml:space="preserve">New — organic + event</t>
  </si>
  <si>
    <t xml:space="preserve">New — referral</t>
  </si>
  <si>
    <t xml:space="preserve">Total new paying dogs</t>
  </si>
  <si>
    <t xml:space="preserve">Active paying dogs</t>
  </si>
  <si>
    <t xml:space="preserve">Runs delivered</t>
  </si>
  <si>
    <t xml:space="preserve">GMV (₩)</t>
  </si>
  <si>
    <t xml:space="preserve">PG fees</t>
  </si>
  <si>
    <t xml:space="preserve">Net platform revenue</t>
  </si>
  <si>
    <t xml:space="preserve">Events</t>
  </si>
  <si>
    <t xml:space="preserve">Free-run subsidies</t>
  </si>
  <si>
    <t xml:space="preserve">Other marketing (edit)</t>
  </si>
  <si>
    <t xml:space="preserve">Fixed opex</t>
  </si>
  <si>
    <t xml:space="preserve">Total costs</t>
  </si>
  <si>
    <t xml:space="preserve">Net cash flow</t>
  </si>
  <si>
    <t xml:space="preserve">Cumulative cash</t>
  </si>
  <si>
    <t xml:space="preserve">Runners needed (utilized)</t>
  </si>
  <si>
    <t xml:space="preserve">Certified runner target</t>
  </si>
  <si>
    <t xml:space="preserve">Month 1 = first paid month (post founding free-run phase). Fractional dogs are fine — it is an expectation model.</t>
  </si>
  <si>
    <t xml:space="preserve">Runner supply model</t>
  </si>
  <si>
    <t xml:space="preserve">Runs per member dog / week</t>
  </si>
  <si>
    <t xml:space="preserve">Dogs served per runner</t>
  </si>
  <si>
    <t xml:space="preserve">RUNNERS NEEDED BY DEMAND LEVEL</t>
  </si>
  <si>
    <t xml:space="preserve">Paying dogs</t>
  </si>
  <si>
    <t xml:space="preserve">Runners (utilized)</t>
  </si>
  <si>
    <t xml:space="preserve">Certified target (x oversupply)</t>
  </si>
  <si>
    <t xml:space="preserve">Playbook check: Phase 1 target of 20–30 certified runners covers ~45–70 dogs utilized — correct oversupply for a 50-dog Phase-3 goal.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</si>
</sst>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"/>
    <numFmt numFmtId="167" formatCode="0.0\x"/>
    <numFmt numFmtId="168" formatCode="0"/>
    <numFmt numFmtId="169" formatCode="0%"/>
    <numFmt numFmtId="170" formatCode="\₩#,##0;&quot;(₩&quot;#,##0\);\-"/>
    <numFmt numFmtId="171" formatCode="#,##0.0"/>
    <numFmt numFmtId="172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Noto Sans CJK SC"/>
      <family val="2"/>
      <charset val="1"/>
    </font>
    <font>
      <i val="true"/>
      <sz val="9"/>
      <color rgb="FF6B6B6B"/>
      <name val="Noto Sans CJK SC"/>
      <family val="2"/>
      <charset val="1"/>
    </font>
    <font>
      <b val="true"/>
      <sz val="10"/>
      <color rgb="FF9C2A00"/>
      <name val="Noto Sans CJK SC"/>
      <family val="2"/>
      <charset val="1"/>
    </font>
    <font>
      <sz val="9"/>
      <color rgb="FF7A3200"/>
      <name val="Cambria"/>
      <family val="0"/>
      <charset val="1"/>
    </font>
    <font>
      <sz val="9"/>
      <color rgb="FF7A3200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1A1A1A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2"/>
      <color rgb="FF1A1A1A"/>
      <name val="Cambria"/>
      <family val="0"/>
      <charset val="1"/>
    </font>
    <font>
      <sz val="10"/>
      <name val="Cambria"/>
      <family val="0"/>
      <charset val="1"/>
    </font>
    <font>
      <sz val="10"/>
      <name val="Noto Sans CJK SC"/>
      <family val="2"/>
    </font>
    <font>
      <i val="true"/>
      <sz val="9"/>
      <color rgb="FF6B6B6B"/>
      <name val="Cambria"/>
      <family val="0"/>
      <charset val="1"/>
    </font>
    <font>
      <i val="true"/>
      <sz val="9"/>
      <color rgb="FF6B6B6B"/>
      <name val="Noto Sans CJK SC"/>
      <family val="2"/>
    </font>
    <font>
      <b val="true"/>
      <sz val="12"/>
      <color rgb="FF1A1A1A"/>
      <name val="Noto Sans CJK SC"/>
      <family val="2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Noto Sans CJK SC"/>
      <family val="2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DE9D9"/>
        <bgColor rgb="FFFFF2CC"/>
      </patternFill>
    </fill>
    <fill>
      <patternFill patternType="solid">
        <fgColor rgb="FF2E2E2E"/>
        <bgColor rgb="FF1A1A1A"/>
      </patternFill>
    </fill>
    <fill>
      <patternFill patternType="solid">
        <fgColor rgb="FFEDEDED"/>
        <bgColor rgb="FFEDE8DA"/>
      </patternFill>
    </fill>
    <fill>
      <patternFill patternType="solid">
        <fgColor rgb="FFFFF2CC"/>
        <bgColor rgb="FFFDE9D9"/>
      </patternFill>
    </fill>
    <fill>
      <patternFill patternType="solid">
        <fgColor rgb="FFE2F0D9"/>
        <bgColor rgb="FFEDE8DA"/>
      </patternFill>
    </fill>
    <fill>
      <patternFill patternType="solid">
        <fgColor rgb="FF0F1D13"/>
        <bgColor rgb="FF1A1A1A"/>
      </patternFill>
    </fill>
    <fill>
      <patternFill patternType="solid">
        <fgColor rgb="FFFFFF00"/>
        <bgColor rgb="FFFFFF00"/>
      </patternFill>
    </fill>
    <fill>
      <patternFill patternType="solid">
        <fgColor rgb="FFEDE8DA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CD6C4"/>
      </left>
      <right style="thin">
        <color rgb="FFDCD6C4"/>
      </right>
      <top style="thin">
        <color rgb="FFDCD6C4"/>
      </top>
      <bottom style="thin">
        <color rgb="FFDCD6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5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5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7A3200"/>
      <rgbColor rgb="FFFFF2CC"/>
      <rgbColor rgb="FFEDEDED"/>
      <rgbColor rgb="FF660066"/>
      <rgbColor rgb="FFFF8080"/>
      <rgbColor rgb="FF0066CC"/>
      <rgbColor rgb="FFDCD6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8DA"/>
      <rgbColor rgb="FFE2F0D9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F1D13"/>
      <rgbColor rgb="FF1A1A1A"/>
      <rgbColor rgb="FF9C2A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20"/>
    <col collapsed="false" customWidth="true" hidden="false" outlineLevel="0" max="5" min="5" style="1" width="24"/>
    <col collapsed="false" customWidth="true" hidden="false" outlineLevel="0" max="8" min="6" style="1" width="16"/>
  </cols>
  <sheetData>
    <row r="1" customFormat="false" ht="23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2.7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12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12.75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8" customFormat="false" ht="12.75" hidden="false" customHeight="true" outlineLevel="0" collapsed="false">
      <c r="A8" s="5" t="s">
        <v>6</v>
      </c>
      <c r="B8" s="5"/>
      <c r="C8" s="5"/>
      <c r="D8" s="5"/>
      <c r="E8" s="5"/>
      <c r="F8" s="5"/>
      <c r="G8" s="5"/>
      <c r="H8" s="5"/>
    </row>
    <row r="9" customFormat="false" ht="12.75" hidden="false" customHeight="true" outlineLevel="0" collapsed="false">
      <c r="A9" s="5" t="s">
        <v>7</v>
      </c>
      <c r="B9" s="5"/>
      <c r="C9" s="5"/>
      <c r="D9" s="5"/>
      <c r="E9" s="5"/>
      <c r="F9" s="5"/>
      <c r="G9" s="5"/>
      <c r="H9" s="5"/>
    </row>
    <row r="11" customFormat="false" ht="16.5" hidden="false" customHeight="true" outlineLevel="0" collapsed="false">
      <c r="A11" s="6" t="s">
        <v>8</v>
      </c>
      <c r="B11" s="6"/>
      <c r="C11" s="6"/>
      <c r="D11" s="6"/>
      <c r="E11" s="6"/>
      <c r="F11" s="6"/>
      <c r="G11" s="6"/>
      <c r="H11" s="6"/>
    </row>
    <row r="12" customFormat="false" ht="16.5" hidden="false" customHeight="true" outlineLevel="0" collapsed="false">
      <c r="A12" s="7" t="s">
        <v>9</v>
      </c>
      <c r="B12" s="8" t="s">
        <v>10</v>
      </c>
      <c r="C12" s="7" t="s">
        <v>11</v>
      </c>
      <c r="D12" s="7" t="s">
        <v>12</v>
      </c>
      <c r="E12" s="7"/>
      <c r="F12" s="7"/>
      <c r="G12" s="7"/>
      <c r="H12" s="7"/>
    </row>
    <row r="13" customFormat="false" ht="15" hidden="false" customHeight="true" outlineLevel="0" collapsed="false">
      <c r="A13" s="9" t="s">
        <v>13</v>
      </c>
      <c r="B13" s="10" t="n">
        <f aca="false">UnitEcon!B4</f>
        <v>24900</v>
      </c>
      <c r="C13" s="11" t="s">
        <v>14</v>
      </c>
      <c r="D13" s="12" t="s">
        <v>15</v>
      </c>
      <c r="E13" s="12"/>
      <c r="F13" s="12"/>
      <c r="G13" s="12"/>
      <c r="H13" s="12"/>
    </row>
    <row r="14" customFormat="false" ht="15" hidden="false" customHeight="true" outlineLevel="0" collapsed="false">
      <c r="A14" s="9" t="s">
        <v>16</v>
      </c>
      <c r="B14" s="10" t="n">
        <f aca="false">UnitEcon!B8</f>
        <v>3158.3</v>
      </c>
      <c r="C14" s="11" t="s">
        <v>14</v>
      </c>
      <c r="D14" s="12" t="s">
        <v>17</v>
      </c>
      <c r="E14" s="12"/>
      <c r="F14" s="12"/>
      <c r="G14" s="12"/>
      <c r="H14" s="12"/>
    </row>
    <row r="15" customFormat="false" ht="15" hidden="false" customHeight="true" outlineLevel="0" collapsed="false">
      <c r="A15" s="9" t="s">
        <v>18</v>
      </c>
      <c r="B15" s="10" t="n">
        <f aca="false">Assumptions!B8</f>
        <v>249000</v>
      </c>
      <c r="C15" s="11" t="s">
        <v>19</v>
      </c>
      <c r="D15" s="13" t="s">
        <v>20</v>
      </c>
      <c r="E15" s="13"/>
      <c r="F15" s="13"/>
      <c r="G15" s="13"/>
      <c r="H15" s="13"/>
    </row>
    <row r="16" customFormat="false" ht="15" hidden="false" customHeight="true" outlineLevel="0" collapsed="false">
      <c r="A16" s="9" t="s">
        <v>21</v>
      </c>
      <c r="B16" s="10" t="n">
        <f aca="false">UnitEcon!B12</f>
        <v>31583</v>
      </c>
      <c r="C16" s="11" t="s">
        <v>19</v>
      </c>
      <c r="D16" s="12" t="s">
        <v>22</v>
      </c>
      <c r="E16" s="12"/>
      <c r="F16" s="12"/>
      <c r="G16" s="12"/>
      <c r="H16" s="12"/>
    </row>
    <row r="17" customFormat="false" ht="15" hidden="false" customHeight="true" outlineLevel="0" collapsed="false">
      <c r="A17" s="9" t="s">
        <v>23</v>
      </c>
      <c r="B17" s="14" t="n">
        <f aca="false">UnitEcon!B13</f>
        <v>3.33333333333333</v>
      </c>
      <c r="C17" s="15" t="s">
        <v>24</v>
      </c>
      <c r="D17" s="12" t="s">
        <v>25</v>
      </c>
      <c r="E17" s="12"/>
      <c r="F17" s="12"/>
      <c r="G17" s="12"/>
      <c r="H17" s="12"/>
    </row>
    <row r="18" customFormat="false" ht="15" hidden="false" customHeight="true" outlineLevel="0" collapsed="false">
      <c r="A18" s="16" t="s">
        <v>26</v>
      </c>
      <c r="B18" s="10" t="n">
        <f aca="false">UnitEcon!B14</f>
        <v>105276.666666667</v>
      </c>
      <c r="C18" s="11" t="s">
        <v>14</v>
      </c>
      <c r="D18" s="12" t="s">
        <v>27</v>
      </c>
      <c r="E18" s="12"/>
      <c r="F18" s="12"/>
      <c r="G18" s="12"/>
      <c r="H18" s="12"/>
    </row>
    <row r="19" customFormat="false" ht="15" hidden="false" customHeight="true" outlineLevel="0" collapsed="false">
      <c r="A19" s="9" t="s">
        <v>28</v>
      </c>
      <c r="B19" s="17" t="n">
        <f aca="false">UnitEcon!C26</f>
        <v>7.01844444444444</v>
      </c>
      <c r="C19" s="15" t="s">
        <v>29</v>
      </c>
      <c r="D19" s="13" t="s">
        <v>30</v>
      </c>
      <c r="E19" s="13"/>
      <c r="F19" s="13"/>
      <c r="G19" s="13"/>
      <c r="H19" s="13"/>
    </row>
    <row r="20" customFormat="false" ht="15" hidden="false" customHeight="true" outlineLevel="0" collapsed="false">
      <c r="A20" s="16" t="s">
        <v>31</v>
      </c>
      <c r="B20" s="10" t="n">
        <f aca="false">SUM(Projection!B9:M9)</f>
        <v>69379285.959593</v>
      </c>
      <c r="C20" s="11" t="s">
        <v>14</v>
      </c>
      <c r="D20" s="12" t="s">
        <v>32</v>
      </c>
      <c r="E20" s="12"/>
      <c r="F20" s="12"/>
      <c r="G20" s="12"/>
      <c r="H20" s="12"/>
    </row>
    <row r="21" customFormat="false" ht="15" hidden="false" customHeight="true" outlineLevel="0" collapsed="false">
      <c r="A21" s="16" t="s">
        <v>33</v>
      </c>
      <c r="B21" s="10" t="n">
        <f aca="false">SUM(Projection!B14:M14)</f>
        <v>8800024.05004749</v>
      </c>
      <c r="C21" s="11" t="s">
        <v>14</v>
      </c>
      <c r="D21" s="12" t="s">
        <v>34</v>
      </c>
      <c r="E21" s="12"/>
      <c r="F21" s="12"/>
      <c r="G21" s="12"/>
      <c r="H21" s="12"/>
    </row>
    <row r="22" customFormat="false" ht="15" hidden="false" customHeight="true" outlineLevel="0" collapsed="false">
      <c r="A22" s="16" t="s">
        <v>35</v>
      </c>
      <c r="B22" s="10" t="n">
        <f aca="false">SUM(Projection!B20:M20)</f>
        <v>29097067.2567728</v>
      </c>
      <c r="C22" s="11" t="s">
        <v>14</v>
      </c>
      <c r="D22" s="12" t="s">
        <v>36</v>
      </c>
      <c r="E22" s="12"/>
      <c r="F22" s="12"/>
      <c r="G22" s="12"/>
      <c r="H22" s="12"/>
    </row>
    <row r="23" customFormat="false" ht="15" hidden="false" customHeight="true" outlineLevel="0" collapsed="false">
      <c r="A23" s="16" t="s">
        <v>37</v>
      </c>
      <c r="B23" s="10" t="n">
        <f aca="false">Projection!M22</f>
        <v>-20297043.2067253</v>
      </c>
      <c r="C23" s="11" t="s">
        <v>14</v>
      </c>
      <c r="D23" s="12" t="s">
        <v>38</v>
      </c>
      <c r="E23" s="12"/>
      <c r="F23" s="12"/>
      <c r="G23" s="12"/>
      <c r="H23" s="12"/>
    </row>
    <row r="24" customFormat="false" ht="15" hidden="false" customHeight="true" outlineLevel="0" collapsed="false">
      <c r="A24" s="16" t="s">
        <v>39</v>
      </c>
      <c r="B24" s="14" t="n">
        <f aca="false">Projection!M7</f>
        <v>26.5397852378208</v>
      </c>
      <c r="C24" s="15" t="s">
        <v>40</v>
      </c>
      <c r="D24" s="12" t="s">
        <v>41</v>
      </c>
      <c r="E24" s="12"/>
      <c r="F24" s="12"/>
      <c r="G24" s="12"/>
      <c r="H24" s="12"/>
    </row>
    <row r="25" customFormat="false" ht="15" hidden="false" customHeight="true" outlineLevel="0" collapsed="false">
      <c r="A25" s="16" t="s">
        <v>42</v>
      </c>
      <c r="B25" s="18" t="n">
        <f aca="false">Projection!M25</f>
        <v>12</v>
      </c>
      <c r="C25" s="15" t="s">
        <v>43</v>
      </c>
      <c r="D25" s="13" t="s">
        <v>44</v>
      </c>
      <c r="E25" s="13"/>
      <c r="F25" s="13"/>
      <c r="G25" s="13"/>
      <c r="H25" s="13"/>
    </row>
    <row r="27" customFormat="false" ht="16.5" hidden="false" customHeight="true" outlineLevel="0" collapsed="false">
      <c r="A27" s="6" t="s">
        <v>45</v>
      </c>
      <c r="B27" s="6"/>
      <c r="C27" s="6"/>
      <c r="D27" s="6"/>
      <c r="E27" s="6"/>
      <c r="F27" s="6"/>
      <c r="G27" s="6"/>
      <c r="H27" s="6"/>
    </row>
    <row r="28" customFormat="false" ht="13.5" hidden="false" customHeight="true" outlineLevel="0" collapsed="false">
      <c r="A28" s="19" t="s">
        <v>46</v>
      </c>
      <c r="B28" s="19"/>
      <c r="C28" s="19"/>
      <c r="D28" s="19"/>
      <c r="E28" s="19"/>
      <c r="F28" s="19"/>
      <c r="G28" s="19"/>
      <c r="H28" s="19"/>
    </row>
    <row r="29" customFormat="false" ht="16.5" hidden="false" customHeight="true" outlineLevel="0" collapsed="false">
      <c r="A29" s="20" t="s">
        <v>47</v>
      </c>
      <c r="B29" s="21" t="s">
        <v>48</v>
      </c>
      <c r="C29" s="21" t="s">
        <v>49</v>
      </c>
      <c r="D29" s="21" t="s">
        <v>50</v>
      </c>
      <c r="E29" s="21" t="s">
        <v>51</v>
      </c>
    </row>
    <row r="30" customFormat="false" ht="15" hidden="false" customHeight="true" outlineLevel="0" collapsed="false">
      <c r="A30" s="9" t="s">
        <v>52</v>
      </c>
      <c r="B30" s="22" t="n">
        <v>0.6</v>
      </c>
      <c r="C30" s="22" t="n">
        <v>0.7</v>
      </c>
      <c r="D30" s="22" t="n">
        <v>0.8</v>
      </c>
      <c r="E30" s="22" t="n">
        <f aca="false">Assumptions!B20</f>
        <v>0.7</v>
      </c>
    </row>
    <row r="31" customFormat="false" ht="15" hidden="false" customHeight="true" outlineLevel="0" collapsed="false">
      <c r="A31" s="9" t="s">
        <v>53</v>
      </c>
      <c r="B31" s="22" t="n">
        <v>0.2</v>
      </c>
      <c r="C31" s="22" t="n">
        <v>0.25</v>
      </c>
      <c r="D31" s="22" t="n">
        <v>0.25</v>
      </c>
      <c r="E31" s="22" t="n">
        <f aca="false">Assumptions!B13</f>
        <v>0.2</v>
      </c>
    </row>
    <row r="32" customFormat="false" ht="15" hidden="false" customHeight="true" outlineLevel="0" collapsed="false">
      <c r="A32" s="9" t="s">
        <v>54</v>
      </c>
      <c r="B32" s="23" t="n">
        <f aca="false">Assumptions!$B$8*B31-Assumptions!$B$8*Assumptions!$B$14-Assumptions!$B$9*Assumptions!$B$15</f>
        <v>31583</v>
      </c>
      <c r="C32" s="23" t="n">
        <f aca="false">Assumptions!$B$8*C31-Assumptions!$B$8*Assumptions!$B$14-Assumptions!$B$9*Assumptions!$B$15</f>
        <v>44033</v>
      </c>
      <c r="D32" s="23" t="n">
        <f aca="false">Assumptions!$B$8*D31-Assumptions!$B$8*Assumptions!$B$14-Assumptions!$B$9*Assumptions!$B$15</f>
        <v>44033</v>
      </c>
      <c r="E32" s="23" t="n">
        <f aca="false">Assumptions!$B$8*E31-Assumptions!$B$8*Assumptions!$B$14-Assumptions!$B$9*Assumptions!$B$15</f>
        <v>31583</v>
      </c>
      <c r="F32" s="19" t="s">
        <v>55</v>
      </c>
      <c r="G32" s="19"/>
      <c r="H32" s="19"/>
    </row>
    <row r="33" customFormat="false" ht="15" hidden="false" customHeight="true" outlineLevel="0" collapsed="false">
      <c r="A33" s="9" t="s">
        <v>56</v>
      </c>
      <c r="B33" s="24" t="n">
        <f aca="false">1/(1-B30)</f>
        <v>2.5</v>
      </c>
      <c r="C33" s="24" t="n">
        <f aca="false">1/(1-C30)</f>
        <v>3.33333333333333</v>
      </c>
      <c r="D33" s="24" t="n">
        <f aca="false">1/(1-D30)</f>
        <v>5</v>
      </c>
      <c r="E33" s="24" t="n">
        <f aca="false">1/(1-E30)</f>
        <v>3.33333333333333</v>
      </c>
      <c r="F33" s="19" t="s">
        <v>57</v>
      </c>
      <c r="G33" s="19"/>
      <c r="H33" s="19"/>
    </row>
    <row r="34" customFormat="false" ht="15" hidden="false" customHeight="true" outlineLevel="0" collapsed="false">
      <c r="A34" s="25" t="s">
        <v>58</v>
      </c>
      <c r="B34" s="26" t="n">
        <f aca="false">B32*B33</f>
        <v>78957.5</v>
      </c>
      <c r="C34" s="26" t="n">
        <f aca="false">C32*C33</f>
        <v>146776.666666667</v>
      </c>
      <c r="D34" s="26" t="n">
        <f aca="false">D32*D33</f>
        <v>220165</v>
      </c>
      <c r="E34" s="26" t="n">
        <f aca="false">E32*E33</f>
        <v>105276.666666667</v>
      </c>
      <c r="F34" s="19" t="s">
        <v>27</v>
      </c>
      <c r="G34" s="19"/>
      <c r="H34" s="19"/>
    </row>
    <row r="35" customFormat="false" ht="15" hidden="false" customHeight="true" outlineLevel="0" collapsed="false">
      <c r="A35" s="16" t="s">
        <v>59</v>
      </c>
      <c r="B35" s="27" t="n">
        <f aca="false">B34/Assumptions!$B$38</f>
        <v>5.26383333333333</v>
      </c>
      <c r="C35" s="27" t="n">
        <f aca="false">C34/Assumptions!$B$38</f>
        <v>9.78511111111111</v>
      </c>
      <c r="D35" s="27" t="n">
        <f aca="false">D34/Assumptions!$B$38</f>
        <v>14.6776666666667</v>
      </c>
      <c r="E35" s="27" t="n">
        <f aca="false">E34/Assumptions!$B$38</f>
        <v>7.01844444444444</v>
      </c>
      <c r="F35" s="28" t="s">
        <v>60</v>
      </c>
      <c r="G35" s="28"/>
      <c r="H35" s="28"/>
    </row>
    <row r="36" customFormat="false" ht="15" hidden="false" customHeight="true" outlineLevel="0" collapsed="false">
      <c r="A36" s="16" t="s">
        <v>61</v>
      </c>
      <c r="B36" s="27" t="n">
        <f aca="false">B34/Assumptions!$B$39</f>
        <v>2.63191666666667</v>
      </c>
      <c r="C36" s="27" t="n">
        <f aca="false">C34/Assumptions!$B$39</f>
        <v>4.89255555555556</v>
      </c>
      <c r="D36" s="27" t="n">
        <f aca="false">D34/Assumptions!$B$39</f>
        <v>7.33883333333333</v>
      </c>
      <c r="E36" s="27" t="n">
        <f aca="false">E34/Assumptions!$B$39</f>
        <v>3.50922222222222</v>
      </c>
      <c r="F36" s="28" t="s">
        <v>62</v>
      </c>
      <c r="G36" s="28"/>
      <c r="H36" s="28"/>
    </row>
    <row r="37" customFormat="false" ht="15" hidden="false" customHeight="true" outlineLevel="0" collapsed="false">
      <c r="A37" s="9" t="s">
        <v>63</v>
      </c>
      <c r="B37" s="23" t="n">
        <f aca="false">Assumptions!$B$7*(1-B31)</f>
        <v>19920</v>
      </c>
      <c r="C37" s="23" t="n">
        <f aca="false">Assumptions!$B$7*(1-C31)</f>
        <v>18675</v>
      </c>
      <c r="D37" s="23" t="n">
        <f aca="false">Assumptions!$B$7*(1-D31)</f>
        <v>18675</v>
      </c>
      <c r="E37" s="23" t="n">
        <f aca="false">Assumptions!$B$7*(1-E31)</f>
        <v>19920</v>
      </c>
      <c r="F37" s="19" t="s">
        <v>64</v>
      </c>
      <c r="G37" s="19"/>
      <c r="H37" s="19"/>
    </row>
    <row r="38" customFormat="false" ht="15" hidden="false" customHeight="true" outlineLevel="0" collapsed="false">
      <c r="A38" s="16" t="s">
        <v>65</v>
      </c>
      <c r="B38" s="27" t="n">
        <f aca="false">B34/(2*B37)</f>
        <v>1.98186495983936</v>
      </c>
      <c r="C38" s="27" t="n">
        <f aca="false">C34/(2*C37)</f>
        <v>3.9297634984382</v>
      </c>
      <c r="D38" s="27" t="n">
        <f aca="false">D34/(2*D37)</f>
        <v>5.8946452476573</v>
      </c>
      <c r="E38" s="27" t="n">
        <f aca="false">E34/(2*E37)</f>
        <v>2.64248661311914</v>
      </c>
      <c r="F38" s="19" t="s">
        <v>66</v>
      </c>
      <c r="G38" s="19"/>
      <c r="H38" s="19"/>
    </row>
    <row r="39" customFormat="false" ht="15" hidden="false" customHeight="true" outlineLevel="0" collapsed="false">
      <c r="A39" s="16" t="s">
        <v>67</v>
      </c>
      <c r="B39" s="27" t="n">
        <f aca="false">B34/Assumptions!$B$41</f>
        <v>1.31595833333333</v>
      </c>
      <c r="C39" s="27" t="n">
        <f aca="false">C34/Assumptions!$B$41</f>
        <v>2.44627777777778</v>
      </c>
      <c r="D39" s="27" t="n">
        <f aca="false">D34/Assumptions!$B$41</f>
        <v>3.66941666666667</v>
      </c>
      <c r="E39" s="27" t="n">
        <f aca="false">E34/Assumptions!$B$41</f>
        <v>1.75461111111111</v>
      </c>
      <c r="F39" s="28" t="s">
        <v>68</v>
      </c>
      <c r="G39" s="28"/>
      <c r="H39" s="28"/>
    </row>
    <row r="40" customFormat="false" ht="18.75" hidden="false" customHeight="true" outlineLevel="0" collapsed="false">
      <c r="A40" s="29" t="s">
        <v>69</v>
      </c>
      <c r="B40" s="30" t="n">
        <f aca="false">Assumptions!$B$25/(1-B30-Assumptions!$B$24)</f>
        <v>18.75</v>
      </c>
      <c r="C40" s="30" t="n">
        <f aca="false">Assumptions!$B$25/(1-C30-Assumptions!$B$24)</f>
        <v>27.2727272727273</v>
      </c>
      <c r="D40" s="30" t="n">
        <f aca="false">Assumptions!$B$25/(1-D30-Assumptions!$B$24)</f>
        <v>50</v>
      </c>
      <c r="E40" s="30" t="n">
        <f aca="false">Assumptions!$B$25/(1-E30-Assumptions!$B$24)</f>
        <v>27.2727272727273</v>
      </c>
      <c r="F40" s="19" t="s">
        <v>70</v>
      </c>
      <c r="G40" s="19"/>
      <c r="H40" s="19"/>
    </row>
    <row r="41" customFormat="false" ht="15" hidden="false" customHeight="true" outlineLevel="0" collapsed="false">
      <c r="A41" s="9" t="s">
        <v>71</v>
      </c>
      <c r="B41" s="23" t="n">
        <f aca="false">B40*B32</f>
        <v>592181.25</v>
      </c>
      <c r="C41" s="23" t="n">
        <f aca="false">C40*C32</f>
        <v>1200900</v>
      </c>
      <c r="D41" s="23" t="n">
        <f aca="false">D40*D32</f>
        <v>2201650</v>
      </c>
      <c r="E41" s="23" t="n">
        <f aca="false">E40*E32</f>
        <v>861354.545454545</v>
      </c>
    </row>
    <row r="42" customFormat="false" ht="15" hidden="false" customHeight="true" outlineLevel="0" collapsed="false">
      <c r="A42" s="9" t="s">
        <v>72</v>
      </c>
      <c r="B42" s="23" t="n">
        <f aca="false">Assumptions!$B$28*Assumptions!$B$29+Assumptions!$B$30+Assumptions!$B$24*B40*2*B37</f>
        <v>2159760</v>
      </c>
      <c r="C42" s="23" t="n">
        <f aca="false">Assumptions!$B$28*Assumptions!$B$29+Assumptions!$B$30+Assumptions!$B$24*C40*2*C37</f>
        <v>2181490.90909091</v>
      </c>
      <c r="D42" s="23" t="n">
        <f aca="false">Assumptions!$B$28*Assumptions!$B$29+Assumptions!$B$30+Assumptions!$B$24*D40*2*D37</f>
        <v>2249400</v>
      </c>
      <c r="E42" s="23" t="n">
        <f aca="false">Assumptions!$B$28*Assumptions!$B$29+Assumptions!$B$30+Assumptions!$B$24*E40*2*E37</f>
        <v>2186923.63636364</v>
      </c>
      <c r="F42" s="19" t="s">
        <v>73</v>
      </c>
      <c r="G42" s="19"/>
      <c r="H42" s="19"/>
    </row>
    <row r="43" customFormat="false" ht="18.75" hidden="false" customHeight="true" outlineLevel="0" collapsed="false">
      <c r="A43" s="31" t="s">
        <v>74</v>
      </c>
      <c r="B43" s="32" t="n">
        <f aca="false">B41-B42</f>
        <v>-1567578.75</v>
      </c>
      <c r="C43" s="32" t="n">
        <f aca="false">C41-C42</f>
        <v>-980590.909090909</v>
      </c>
      <c r="D43" s="32" t="n">
        <f aca="false">D41-D42</f>
        <v>-47749.9999999991</v>
      </c>
      <c r="E43" s="32" t="n">
        <f aca="false">E41-E42</f>
        <v>-1325569.09090909</v>
      </c>
      <c r="F43" s="19" t="s">
        <v>75</v>
      </c>
      <c r="G43" s="19"/>
      <c r="H43" s="19"/>
    </row>
    <row r="44" customFormat="false" ht="15" hidden="false" customHeight="true" outlineLevel="0" collapsed="false">
      <c r="A44" s="9" t="s">
        <v>76</v>
      </c>
      <c r="B44" s="24" t="n">
        <f aca="false">(Assumptions!$B$28*Assumptions!$B$29+Assumptions!$B$30)/(B32-Assumptions!$B$24*2*B37)</f>
        <v>73.9545989195585</v>
      </c>
      <c r="C44" s="24" t="n">
        <f aca="false">(Assumptions!$B$28*Assumptions!$B$29+Assumptions!$B$30)/(C32-Assumptions!$B$24*2*C37)</f>
        <v>51.1633572907784</v>
      </c>
      <c r="D44" s="24" t="n">
        <f aca="false">(Assumptions!$B$28*Assumptions!$B$29+Assumptions!$B$30)/(D32-Assumptions!$B$24*2*D37)</f>
        <v>51.1633572907784</v>
      </c>
      <c r="E44" s="24" t="n">
        <f aca="false">(Assumptions!$B$28*Assumptions!$B$29+Assumptions!$B$30)/(E32-Assumptions!$B$24*2*E37)</f>
        <v>73.9545989195585</v>
      </c>
      <c r="F44" s="19" t="s">
        <v>77</v>
      </c>
      <c r="G44" s="19"/>
      <c r="H44" s="19"/>
    </row>
    <row r="45" customFormat="false" ht="15" hidden="false" customHeight="true" outlineLevel="0" collapsed="false">
      <c r="A45" s="33" t="s">
        <v>78</v>
      </c>
      <c r="B45" s="34" t="n">
        <f aca="false">(Assumptions!$B$28*0.5*Assumptions!$B$29+Assumptions!$B$30)/(B32-Assumptions!$B$24*2*B37)</f>
        <v>45.7814183787743</v>
      </c>
      <c r="C45" s="34" t="n">
        <f aca="false">(Assumptions!$B$28*0.5*Assumptions!$B$29+Assumptions!$B$30)/(C32-Assumptions!$B$24*2*C37)</f>
        <v>31.672554513339</v>
      </c>
      <c r="D45" s="34" t="n">
        <f aca="false">(Assumptions!$B$28*0.5*Assumptions!$B$29+Assumptions!$B$30)/(D32-Assumptions!$B$24*2*D37)</f>
        <v>31.672554513339</v>
      </c>
      <c r="E45" s="34" t="n">
        <f aca="false">(Assumptions!$B$28*0.5*Assumptions!$B$29+Assumptions!$B$30)/(E32-Assumptions!$B$24*2*E37)</f>
        <v>45.7814183787743</v>
      </c>
      <c r="F45" s="19" t="s">
        <v>79</v>
      </c>
      <c r="G45" s="19"/>
      <c r="H45" s="19"/>
    </row>
    <row r="46" customFormat="false" ht="15" hidden="false" customHeight="true" outlineLevel="0" collapsed="false">
      <c r="A46" s="9" t="s">
        <v>80</v>
      </c>
      <c r="B46" s="24" t="n">
        <f aca="false">B40-B44</f>
        <v>-55.2045989195585</v>
      </c>
      <c r="C46" s="24" t="n">
        <f aca="false">C40-C44</f>
        <v>-23.8906300180511</v>
      </c>
      <c r="D46" s="24" t="n">
        <f aca="false">D40-D44</f>
        <v>-1.16335729077839</v>
      </c>
      <c r="E46" s="24" t="n">
        <f aca="false">E40-E44</f>
        <v>-46.6818716468313</v>
      </c>
      <c r="F46" s="19" t="s">
        <v>81</v>
      </c>
      <c r="G46" s="19"/>
      <c r="H46" s="19"/>
    </row>
    <row r="48" customFormat="false" ht="16.5" hidden="false" customHeight="true" outlineLevel="0" collapsed="false">
      <c r="A48" s="6" t="s">
        <v>82</v>
      </c>
      <c r="B48" s="6"/>
      <c r="C48" s="6"/>
      <c r="D48" s="6"/>
      <c r="E48" s="6"/>
      <c r="F48" s="6"/>
      <c r="G48" s="6"/>
      <c r="H48" s="6"/>
    </row>
    <row r="49" customFormat="false" ht="15" hidden="false" customHeight="true" outlineLevel="0" collapsed="false">
      <c r="A49" s="35" t="s">
        <v>83</v>
      </c>
      <c r="B49" s="35"/>
      <c r="C49" s="35"/>
      <c r="D49" s="35"/>
      <c r="E49" s="35"/>
      <c r="F49" s="35"/>
      <c r="G49" s="35"/>
      <c r="H49" s="35"/>
    </row>
    <row r="50" customFormat="false" ht="15" hidden="false" customHeight="true" outlineLevel="0" collapsed="false">
      <c r="A50" s="35" t="s">
        <v>84</v>
      </c>
      <c r="B50" s="35"/>
      <c r="C50" s="35"/>
      <c r="D50" s="35"/>
      <c r="E50" s="35"/>
      <c r="F50" s="35"/>
      <c r="G50" s="35"/>
      <c r="H50" s="35"/>
    </row>
    <row r="51" customFormat="false" ht="15" hidden="false" customHeight="true" outlineLevel="0" collapsed="false">
      <c r="A51" s="35" t="s">
        <v>85</v>
      </c>
      <c r="B51" s="35"/>
      <c r="C51" s="35"/>
      <c r="D51" s="35"/>
      <c r="E51" s="35"/>
      <c r="F51" s="35"/>
      <c r="G51" s="35"/>
      <c r="H51" s="35"/>
    </row>
    <row r="52" customFormat="false" ht="15" hidden="false" customHeight="true" outlineLevel="0" collapsed="false">
      <c r="A52" s="35" t="s">
        <v>86</v>
      </c>
      <c r="B52" s="35"/>
      <c r="C52" s="35"/>
      <c r="D52" s="35"/>
      <c r="E52" s="35"/>
      <c r="F52" s="35"/>
      <c r="G52" s="35"/>
      <c r="H52" s="35"/>
    </row>
    <row r="53" customFormat="false" ht="15" hidden="false" customHeight="true" outlineLevel="0" collapsed="false">
      <c r="A53" s="35" t="s">
        <v>87</v>
      </c>
      <c r="B53" s="35"/>
      <c r="C53" s="35"/>
      <c r="D53" s="35"/>
      <c r="E53" s="35"/>
      <c r="F53" s="35"/>
      <c r="G53" s="35"/>
      <c r="H53" s="35"/>
    </row>
    <row r="55" customFormat="false" ht="13.5" hidden="false" customHeight="true" outlineLevel="0" collapsed="false">
      <c r="A55" s="19" t="s">
        <v>88</v>
      </c>
      <c r="B55" s="19"/>
      <c r="C55" s="19"/>
      <c r="D55" s="19"/>
      <c r="E55" s="19"/>
      <c r="F55" s="19"/>
      <c r="G55" s="19"/>
      <c r="H55" s="19"/>
    </row>
  </sheetData>
  <mergeCells count="44">
    <mergeCell ref="A4:H4"/>
    <mergeCell ref="A5:H5"/>
    <mergeCell ref="A6:H6"/>
    <mergeCell ref="A7:H7"/>
    <mergeCell ref="A8:H8"/>
    <mergeCell ref="A9:H9"/>
    <mergeCell ref="A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A27:H27"/>
    <mergeCell ref="A28:H28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2:H42"/>
    <mergeCell ref="F43:H43"/>
    <mergeCell ref="F44:H44"/>
    <mergeCell ref="F45:H45"/>
    <mergeCell ref="F46:H46"/>
    <mergeCell ref="A48:H48"/>
    <mergeCell ref="A49:H49"/>
    <mergeCell ref="A50:H50"/>
    <mergeCell ref="A51:H51"/>
    <mergeCell ref="A52:H52"/>
    <mergeCell ref="A53:H53"/>
    <mergeCell ref="A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36" t="s">
        <v>89</v>
      </c>
    </row>
    <row r="2" customFormat="false" ht="15" hidden="false" customHeight="true" outlineLevel="0" collapsed="false">
      <c r="A2" s="37" t="s">
        <v>90</v>
      </c>
    </row>
    <row r="3" customFormat="false" ht="15" hidden="false" customHeight="true" outlineLevel="0" collapsed="false">
      <c r="A3" s="38"/>
    </row>
    <row r="4" customFormat="false" ht="15" hidden="false" customHeight="true" outlineLevel="0" collapsed="false">
      <c r="A4" s="39" t="s">
        <v>91</v>
      </c>
    </row>
    <row r="5" customFormat="false" ht="15" hidden="false" customHeight="true" outlineLevel="0" collapsed="false">
      <c r="A5" s="40" t="s">
        <v>92</v>
      </c>
    </row>
    <row r="6" customFormat="false" ht="15" hidden="false" customHeight="true" outlineLevel="0" collapsed="false">
      <c r="A6" s="40" t="s">
        <v>93</v>
      </c>
    </row>
    <row r="7" customFormat="false" ht="26.25" hidden="false" customHeight="true" outlineLevel="0" collapsed="false">
      <c r="A7" s="40" t="s">
        <v>94</v>
      </c>
    </row>
    <row r="8" customFormat="false" ht="15" hidden="false" customHeight="true" outlineLevel="0" collapsed="false">
      <c r="A8" s="38"/>
    </row>
    <row r="9" customFormat="false" ht="15" hidden="false" customHeight="true" outlineLevel="0" collapsed="false">
      <c r="A9" s="39" t="s">
        <v>95</v>
      </c>
    </row>
    <row r="10" customFormat="false" ht="23.25" hidden="false" customHeight="true" outlineLevel="0" collapsed="false">
      <c r="A10" s="40" t="s">
        <v>96</v>
      </c>
    </row>
    <row r="11" customFormat="false" ht="23.25" hidden="false" customHeight="true" outlineLevel="0" collapsed="false">
      <c r="A11" s="40" t="s">
        <v>97</v>
      </c>
    </row>
    <row r="12" customFormat="false" ht="29.25" hidden="false" customHeight="true" outlineLevel="0" collapsed="false">
      <c r="A12" s="40" t="s">
        <v>98</v>
      </c>
    </row>
    <row r="13" customFormat="false" ht="23.25" hidden="false" customHeight="true" outlineLevel="0" collapsed="false">
      <c r="A13" s="40" t="s">
        <v>99</v>
      </c>
    </row>
    <row r="14" customFormat="false" ht="15" hidden="false" customHeight="true" outlineLevel="0" collapsed="false">
      <c r="A14" s="38"/>
    </row>
    <row r="15" customFormat="false" ht="15" hidden="false" customHeight="true" outlineLevel="0" collapsed="false">
      <c r="A15" s="39" t="s">
        <v>100</v>
      </c>
    </row>
    <row r="16" customFormat="false" ht="26.25" hidden="false" customHeight="true" outlineLevel="0" collapsed="false">
      <c r="A16" s="4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5.75" hidden="false" customHeight="true" outlineLevel="0" collapsed="false">
      <c r="A1" s="41" t="s">
        <v>102</v>
      </c>
    </row>
    <row r="3" customFormat="false" ht="15" hidden="false" customHeight="true" outlineLevel="0" collapsed="false">
      <c r="A3" s="42" t="s">
        <v>103</v>
      </c>
    </row>
    <row r="4" customFormat="false" ht="15" hidden="false" customHeight="true" outlineLevel="0" collapsed="false">
      <c r="A4" s="43" t="s">
        <v>104</v>
      </c>
      <c r="B4" s="44" t="n">
        <v>9900</v>
      </c>
      <c r="C4" s="45" t="s">
        <v>105</v>
      </c>
    </row>
    <row r="5" customFormat="false" ht="15" hidden="false" customHeight="true" outlineLevel="0" collapsed="false">
      <c r="A5" s="43" t="s">
        <v>106</v>
      </c>
      <c r="B5" s="44" t="n">
        <v>3000</v>
      </c>
    </row>
    <row r="6" customFormat="false" ht="15" hidden="false" customHeight="true" outlineLevel="0" collapsed="false">
      <c r="A6" s="43" t="s">
        <v>107</v>
      </c>
      <c r="B6" s="46" t="n">
        <v>5</v>
      </c>
      <c r="C6" s="45" t="s">
        <v>108</v>
      </c>
    </row>
    <row r="7" customFormat="false" ht="15" hidden="false" customHeight="true" outlineLevel="0" collapsed="false">
      <c r="A7" s="43" t="s">
        <v>109</v>
      </c>
      <c r="B7" s="47" t="n">
        <f aca="false">B4+B5*B6</f>
        <v>24900</v>
      </c>
    </row>
    <row r="8" customFormat="false" ht="15" hidden="false" customHeight="true" outlineLevel="0" collapsed="false">
      <c r="A8" s="43" t="s">
        <v>110</v>
      </c>
      <c r="B8" s="48" t="n">
        <v>249000</v>
      </c>
      <c r="C8" s="45" t="s">
        <v>111</v>
      </c>
    </row>
    <row r="9" customFormat="false" ht="15" hidden="false" customHeight="true" outlineLevel="0" collapsed="false">
      <c r="A9" s="43" t="s">
        <v>112</v>
      </c>
      <c r="B9" s="49" t="n">
        <v>10</v>
      </c>
      <c r="C9" s="50" t="s">
        <v>113</v>
      </c>
    </row>
    <row r="10" customFormat="false" ht="15" hidden="false" customHeight="true" outlineLevel="0" collapsed="false">
      <c r="A10" s="43" t="s">
        <v>114</v>
      </c>
      <c r="B10" s="47" t="n">
        <f aca="false">B8/B9</f>
        <v>24900</v>
      </c>
      <c r="C10" s="45" t="s">
        <v>115</v>
      </c>
    </row>
    <row r="12" customFormat="false" ht="15" hidden="false" customHeight="true" outlineLevel="0" collapsed="false">
      <c r="A12" s="42" t="s">
        <v>116</v>
      </c>
    </row>
    <row r="13" customFormat="false" ht="15" hidden="false" customHeight="true" outlineLevel="0" collapsed="false">
      <c r="A13" s="43" t="s">
        <v>117</v>
      </c>
      <c r="B13" s="51" t="n">
        <v>0.2</v>
      </c>
      <c r="C13" s="45" t="s">
        <v>118</v>
      </c>
    </row>
    <row r="14" customFormat="false" ht="15" hidden="false" customHeight="true" outlineLevel="0" collapsed="false">
      <c r="A14" s="43" t="s">
        <v>119</v>
      </c>
      <c r="B14" s="52" t="n">
        <v>0.033</v>
      </c>
      <c r="C14" s="45" t="s">
        <v>120</v>
      </c>
    </row>
    <row r="15" customFormat="false" ht="15" hidden="false" customHeight="true" outlineLevel="0" collapsed="false">
      <c r="A15" s="43" t="s">
        <v>121</v>
      </c>
      <c r="B15" s="44" t="n">
        <v>1000</v>
      </c>
      <c r="C15" s="45" t="s">
        <v>122</v>
      </c>
    </row>
    <row r="16" customFormat="false" ht="15" hidden="false" customHeight="true" outlineLevel="0" collapsed="false">
      <c r="A16" s="43" t="s">
        <v>123</v>
      </c>
      <c r="B16" s="53" t="n">
        <f aca="false">1-B13</f>
        <v>0.8</v>
      </c>
    </row>
    <row r="17" customFormat="false" ht="15" hidden="false" customHeight="true" outlineLevel="0" collapsed="false">
      <c r="A17" s="43" t="s">
        <v>124</v>
      </c>
      <c r="B17" s="47" t="n">
        <f aca="false">B7*B16</f>
        <v>19920</v>
      </c>
      <c r="C17" s="45" t="s">
        <v>125</v>
      </c>
    </row>
    <row r="19" customFormat="false" ht="15" hidden="false" customHeight="true" outlineLevel="0" collapsed="false">
      <c r="A19" s="42" t="s">
        <v>126</v>
      </c>
    </row>
    <row r="20" customFormat="false" ht="15" hidden="false" customHeight="true" outlineLevel="0" collapsed="false">
      <c r="A20" s="43" t="s">
        <v>127</v>
      </c>
      <c r="B20" s="51" t="n">
        <v>0.7</v>
      </c>
      <c r="C20" s="45" t="s">
        <v>128</v>
      </c>
    </row>
    <row r="21" customFormat="false" ht="15" hidden="false" customHeight="true" outlineLevel="0" collapsed="false">
      <c r="A21" s="43" t="s">
        <v>129</v>
      </c>
      <c r="B21" s="54" t="n">
        <v>40</v>
      </c>
      <c r="C21" s="45" t="s">
        <v>130</v>
      </c>
    </row>
    <row r="22" customFormat="false" ht="15" hidden="false" customHeight="true" outlineLevel="0" collapsed="false">
      <c r="A22" s="43" t="s">
        <v>131</v>
      </c>
      <c r="B22" s="49" t="n">
        <v>2</v>
      </c>
    </row>
    <row r="23" customFormat="false" ht="15" hidden="false" customHeight="true" outlineLevel="0" collapsed="false">
      <c r="A23" s="43" t="s">
        <v>132</v>
      </c>
      <c r="B23" s="51" t="n">
        <v>0.4</v>
      </c>
      <c r="C23" s="45" t="s">
        <v>133</v>
      </c>
    </row>
    <row r="24" customFormat="false" ht="15" hidden="false" customHeight="true" outlineLevel="0" collapsed="false">
      <c r="A24" s="43" t="s">
        <v>134</v>
      </c>
      <c r="B24" s="52" t="n">
        <v>0.08</v>
      </c>
      <c r="C24" s="45" t="s">
        <v>135</v>
      </c>
    </row>
    <row r="25" customFormat="false" ht="15" hidden="false" customHeight="true" outlineLevel="0" collapsed="false">
      <c r="A25" s="43" t="s">
        <v>136</v>
      </c>
      <c r="B25" s="49" t="n">
        <v>6</v>
      </c>
      <c r="C25" s="45" t="s">
        <v>137</v>
      </c>
    </row>
    <row r="27" customFormat="false" ht="15" hidden="false" customHeight="true" outlineLevel="0" collapsed="false">
      <c r="A27" s="42" t="s">
        <v>138</v>
      </c>
    </row>
    <row r="28" customFormat="false" ht="15" hidden="false" customHeight="true" outlineLevel="0" collapsed="false">
      <c r="A28" s="43" t="s">
        <v>139</v>
      </c>
      <c r="B28" s="44" t="n">
        <v>400000</v>
      </c>
      <c r="C28" s="45" t="s">
        <v>140</v>
      </c>
    </row>
    <row r="29" customFormat="false" ht="15" hidden="false" customHeight="true" outlineLevel="0" collapsed="false">
      <c r="A29" s="43" t="s">
        <v>141</v>
      </c>
      <c r="B29" s="49" t="n">
        <v>4</v>
      </c>
    </row>
    <row r="30" customFormat="false" ht="15" hidden="false" customHeight="true" outlineLevel="0" collapsed="false">
      <c r="A30" s="43" t="s">
        <v>142</v>
      </c>
      <c r="B30" s="44" t="n">
        <v>500000</v>
      </c>
      <c r="C30" s="45" t="s">
        <v>143</v>
      </c>
    </row>
    <row r="32" customFormat="false" ht="15" hidden="false" customHeight="true" outlineLevel="0" collapsed="false">
      <c r="A32" s="42" t="s">
        <v>144</v>
      </c>
    </row>
    <row r="33" customFormat="false" ht="15" hidden="false" customHeight="true" outlineLevel="0" collapsed="false">
      <c r="A33" s="43" t="s">
        <v>145</v>
      </c>
      <c r="B33" s="49" t="n">
        <v>8</v>
      </c>
      <c r="C33" s="45" t="s">
        <v>146</v>
      </c>
    </row>
    <row r="34" customFormat="false" ht="15" hidden="false" customHeight="true" outlineLevel="0" collapsed="false">
      <c r="A34" s="43" t="s">
        <v>147</v>
      </c>
      <c r="B34" s="55" t="n">
        <v>1.5</v>
      </c>
      <c r="C34" s="45" t="s">
        <v>148</v>
      </c>
    </row>
    <row r="35" customFormat="false" ht="15" hidden="false" customHeight="true" outlineLevel="0" collapsed="false">
      <c r="A35" s="43" t="s">
        <v>149</v>
      </c>
      <c r="B35" s="55" t="n">
        <v>4.33</v>
      </c>
    </row>
    <row r="37" customFormat="false" ht="15" hidden="false" customHeight="true" outlineLevel="0" collapsed="false">
      <c r="A37" s="42" t="s">
        <v>150</v>
      </c>
    </row>
    <row r="38" customFormat="false" ht="15" hidden="false" customHeight="true" outlineLevel="0" collapsed="false">
      <c r="A38" s="43" t="s">
        <v>151</v>
      </c>
      <c r="B38" s="44" t="n">
        <v>15000</v>
      </c>
      <c r="C38" s="45" t="s">
        <v>152</v>
      </c>
    </row>
    <row r="39" customFormat="false" ht="15" hidden="false" customHeight="true" outlineLevel="0" collapsed="false">
      <c r="A39" s="56" t="s">
        <v>153</v>
      </c>
      <c r="B39" s="44" t="n">
        <v>30000</v>
      </c>
      <c r="C39" s="45" t="s">
        <v>154</v>
      </c>
    </row>
    <row r="40" customFormat="false" ht="15" hidden="false" customHeight="true" outlineLevel="0" collapsed="false">
      <c r="A40" s="43" t="s">
        <v>155</v>
      </c>
      <c r="B40" s="47" t="n">
        <f aca="false">2*B17</f>
        <v>39840</v>
      </c>
      <c r="C40" s="45" t="s">
        <v>156</v>
      </c>
    </row>
    <row r="41" customFormat="false" ht="15" hidden="false" customHeight="true" outlineLevel="0" collapsed="false">
      <c r="A41" s="43" t="s">
        <v>157</v>
      </c>
      <c r="B41" s="44" t="n">
        <v>60000</v>
      </c>
      <c r="C41" s="45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</cols>
  <sheetData>
    <row r="1" customFormat="false" ht="15.75" hidden="false" customHeight="true" outlineLevel="0" collapsed="false">
      <c r="A1" s="41" t="s">
        <v>159</v>
      </c>
    </row>
    <row r="3" customFormat="false" ht="15" hidden="false" customHeight="true" outlineLevel="0" collapsed="false">
      <c r="A3" s="42" t="s">
        <v>160</v>
      </c>
    </row>
    <row r="4" customFormat="false" ht="15" hidden="false" customHeight="true" outlineLevel="0" collapsed="false">
      <c r="A4" s="43" t="s">
        <v>161</v>
      </c>
      <c r="B4" s="57" t="n">
        <f aca="false">Assumptions!B7</f>
        <v>24900</v>
      </c>
    </row>
    <row r="5" customFormat="false" ht="15" hidden="false" customHeight="true" outlineLevel="0" collapsed="false">
      <c r="A5" s="43" t="s">
        <v>162</v>
      </c>
      <c r="B5" s="47" t="n">
        <f aca="false">B4*Assumptions!B13</f>
        <v>4980</v>
      </c>
    </row>
    <row r="6" customFormat="false" ht="15" hidden="false" customHeight="true" outlineLevel="0" collapsed="false">
      <c r="A6" s="43" t="s">
        <v>163</v>
      </c>
      <c r="B6" s="47" t="n">
        <f aca="false">B4*Assumptions!B14</f>
        <v>821.7</v>
      </c>
    </row>
    <row r="7" customFormat="false" ht="15" hidden="false" customHeight="true" outlineLevel="0" collapsed="false">
      <c r="A7" s="43" t="s">
        <v>164</v>
      </c>
      <c r="B7" s="57" t="n">
        <f aca="false">Assumptions!B15</f>
        <v>1000</v>
      </c>
    </row>
    <row r="8" customFormat="false" ht="15" hidden="false" customHeight="true" outlineLevel="0" collapsed="false">
      <c r="A8" s="58" t="s">
        <v>165</v>
      </c>
      <c r="B8" s="47" t="n">
        <f aca="false">B5-B6-B7</f>
        <v>3158.3</v>
      </c>
    </row>
    <row r="10" customFormat="false" ht="15" hidden="false" customHeight="true" outlineLevel="0" collapsed="false">
      <c r="A10" s="42" t="s">
        <v>166</v>
      </c>
    </row>
    <row r="11" customFormat="false" ht="15" hidden="false" customHeight="true" outlineLevel="0" collapsed="false">
      <c r="A11" s="43" t="s">
        <v>167</v>
      </c>
      <c r="B11" s="57" t="n">
        <f aca="false">Assumptions!B8</f>
        <v>249000</v>
      </c>
    </row>
    <row r="12" customFormat="false" ht="15" hidden="false" customHeight="true" outlineLevel="0" collapsed="false">
      <c r="A12" s="43" t="s">
        <v>168</v>
      </c>
      <c r="B12" s="47" t="n">
        <f aca="false">B11*Assumptions!B13-B11*Assumptions!B14-Assumptions!B9*Assumptions!B15</f>
        <v>31583</v>
      </c>
    </row>
    <row r="13" customFormat="false" ht="15" hidden="false" customHeight="true" outlineLevel="0" collapsed="false">
      <c r="A13" s="43" t="s">
        <v>169</v>
      </c>
      <c r="B13" s="59" t="n">
        <f aca="false">1/(1-Assumptions!B20)</f>
        <v>3.33333333333333</v>
      </c>
    </row>
    <row r="14" customFormat="false" ht="15" hidden="false" customHeight="true" outlineLevel="0" collapsed="false">
      <c r="A14" s="58" t="s">
        <v>58</v>
      </c>
      <c r="B14" s="47" t="n">
        <f aca="false">B12*B13</f>
        <v>105276.666666667</v>
      </c>
    </row>
    <row r="16" customFormat="false" ht="15" hidden="false" customHeight="true" outlineLevel="0" collapsed="false">
      <c r="A16" s="42" t="s">
        <v>170</v>
      </c>
    </row>
    <row r="17" customFormat="false" ht="15" hidden="false" customHeight="true" outlineLevel="0" collapsed="false">
      <c r="A17" s="45" t="s">
        <v>171</v>
      </c>
      <c r="B17" s="60" t="n">
        <v>0.6</v>
      </c>
      <c r="C17" s="60" t="n">
        <v>0.7</v>
      </c>
      <c r="D17" s="60" t="n">
        <v>0.8</v>
      </c>
      <c r="E17" s="60" t="n">
        <v>0.85</v>
      </c>
    </row>
    <row r="18" customFormat="false" ht="15" hidden="false" customHeight="true" outlineLevel="0" collapsed="false">
      <c r="A18" s="60" t="n">
        <v>0.15</v>
      </c>
      <c r="B18" s="47" t="n">
        <f aca="false">(Assumptions!$B$8*$A18-Assumptions!$B$8*Assumptions!$B$14-Assumptions!$B$9*Assumptions!$B$15)/(1-B$17)</f>
        <v>47832.5</v>
      </c>
      <c r="C18" s="47" t="n">
        <f aca="false">(Assumptions!$B$8*$A18-Assumptions!$B$8*Assumptions!$B$14-Assumptions!$B$9*Assumptions!$B$15)/(1-C$17)</f>
        <v>63776.6666666667</v>
      </c>
      <c r="D18" s="47" t="n">
        <f aca="false">(Assumptions!$B$8*$A18-Assumptions!$B$8*Assumptions!$B$14-Assumptions!$B$9*Assumptions!$B$15)/(1-D$17)</f>
        <v>95665</v>
      </c>
      <c r="E18" s="47" t="n">
        <f aca="false">(Assumptions!$B$8*$A18-Assumptions!$B$8*Assumptions!$B$14-Assumptions!$B$9*Assumptions!$B$15)/(1-E$17)</f>
        <v>127553.333333333</v>
      </c>
    </row>
    <row r="19" customFormat="false" ht="15" hidden="false" customHeight="true" outlineLevel="0" collapsed="false">
      <c r="A19" s="60" t="n">
        <v>0.2</v>
      </c>
      <c r="B19" s="47" t="n">
        <f aca="false">(Assumptions!$B$8*$A19-Assumptions!$B$8*Assumptions!$B$14-Assumptions!$B$9*Assumptions!$B$15)/(1-B$17)</f>
        <v>78957.5</v>
      </c>
      <c r="C19" s="47" t="n">
        <f aca="false">(Assumptions!$B$8*$A19-Assumptions!$B$8*Assumptions!$B$14-Assumptions!$B$9*Assumptions!$B$15)/(1-C$17)</f>
        <v>105276.666666667</v>
      </c>
      <c r="D19" s="47" t="n">
        <f aca="false">(Assumptions!$B$8*$A19-Assumptions!$B$8*Assumptions!$B$14-Assumptions!$B$9*Assumptions!$B$15)/(1-D$17)</f>
        <v>157915</v>
      </c>
      <c r="E19" s="47" t="n">
        <f aca="false">(Assumptions!$B$8*$A19-Assumptions!$B$8*Assumptions!$B$14-Assumptions!$B$9*Assumptions!$B$15)/(1-E$17)</f>
        <v>210553.333333333</v>
      </c>
    </row>
    <row r="20" customFormat="false" ht="15" hidden="false" customHeight="true" outlineLevel="0" collapsed="false">
      <c r="A20" s="60" t="n">
        <v>0.25</v>
      </c>
      <c r="B20" s="47" t="n">
        <f aca="false">(Assumptions!$B$8*$A20-Assumptions!$B$8*Assumptions!$B$14-Assumptions!$B$9*Assumptions!$B$15)/(1-B$17)</f>
        <v>110082.5</v>
      </c>
      <c r="C20" s="47" t="n">
        <f aca="false">(Assumptions!$B$8*$A20-Assumptions!$B$8*Assumptions!$B$14-Assumptions!$B$9*Assumptions!$B$15)/(1-C$17)</f>
        <v>146776.666666667</v>
      </c>
      <c r="D20" s="47" t="n">
        <f aca="false">(Assumptions!$B$8*$A20-Assumptions!$B$8*Assumptions!$B$14-Assumptions!$B$9*Assumptions!$B$15)/(1-D$17)</f>
        <v>220165</v>
      </c>
      <c r="E20" s="47" t="n">
        <f aca="false">(Assumptions!$B$8*$A20-Assumptions!$B$8*Assumptions!$B$14-Assumptions!$B$9*Assumptions!$B$15)/(1-E$17)</f>
        <v>293553.333333333</v>
      </c>
    </row>
    <row r="21" customFormat="false" ht="15" hidden="false" customHeight="true" outlineLevel="0" collapsed="false">
      <c r="A21" s="60" t="n">
        <v>0.3</v>
      </c>
      <c r="B21" s="47" t="n">
        <f aca="false">(Assumptions!$B$8*$A21-Assumptions!$B$8*Assumptions!$B$14-Assumptions!$B$9*Assumptions!$B$15)/(1-B$17)</f>
        <v>141207.5</v>
      </c>
      <c r="C21" s="47" t="n">
        <f aca="false">(Assumptions!$B$8*$A21-Assumptions!$B$8*Assumptions!$B$14-Assumptions!$B$9*Assumptions!$B$15)/(1-C$17)</f>
        <v>188276.666666667</v>
      </c>
      <c r="D21" s="47" t="n">
        <f aca="false">(Assumptions!$B$8*$A21-Assumptions!$B$8*Assumptions!$B$14-Assumptions!$B$9*Assumptions!$B$15)/(1-D$17)</f>
        <v>282415</v>
      </c>
      <c r="E21" s="47" t="n">
        <f aca="false">(Assumptions!$B$8*$A21-Assumptions!$B$8*Assumptions!$B$14-Assumptions!$B$9*Assumptions!$B$15)/(1-E$17)</f>
        <v>376553.333333333</v>
      </c>
    </row>
    <row r="24" customFormat="false" ht="15" hidden="false" customHeight="true" outlineLevel="0" collapsed="false">
      <c r="A24" s="42" t="s">
        <v>172</v>
      </c>
    </row>
    <row r="25" customFormat="false" ht="15" hidden="false" customHeight="true" outlineLevel="0" collapsed="false">
      <c r="A25" s="58" t="s">
        <v>173</v>
      </c>
      <c r="B25" s="58" t="s">
        <v>174</v>
      </c>
      <c r="C25" s="58" t="s">
        <v>175</v>
      </c>
    </row>
    <row r="26" customFormat="false" ht="15" hidden="false" customHeight="true" outlineLevel="0" collapsed="false">
      <c r="A26" s="43" t="s">
        <v>151</v>
      </c>
      <c r="B26" s="57" t="n">
        <f aca="false">Assumptions!B38</f>
        <v>15000</v>
      </c>
      <c r="C26" s="61" t="n">
        <f aca="false">IF(B26=0,"-",$B$14/B26)</f>
        <v>7.01844444444444</v>
      </c>
    </row>
    <row r="27" customFormat="false" ht="15" hidden="false" customHeight="true" outlineLevel="0" collapsed="false">
      <c r="A27" s="56" t="s">
        <v>153</v>
      </c>
      <c r="B27" s="57" t="n">
        <f aca="false">Assumptions!B39</f>
        <v>30000</v>
      </c>
      <c r="C27" s="61" t="n">
        <f aca="false">IF(B27=0,"-",$B$14/B27)</f>
        <v>3.50922222222222</v>
      </c>
    </row>
    <row r="28" customFormat="false" ht="15" hidden="false" customHeight="true" outlineLevel="0" collapsed="false">
      <c r="A28" s="43" t="s">
        <v>176</v>
      </c>
      <c r="B28" s="57" t="n">
        <f aca="false">Assumptions!B40</f>
        <v>39840</v>
      </c>
      <c r="C28" s="61" t="n">
        <f aca="false">IF(B28=0,"-",$B$14/B28)</f>
        <v>2.64248661311914</v>
      </c>
    </row>
    <row r="29" customFormat="false" ht="15" hidden="false" customHeight="true" outlineLevel="0" collapsed="false">
      <c r="A29" s="43" t="s">
        <v>157</v>
      </c>
      <c r="B29" s="57" t="n">
        <f aca="false">Assumptions!B41</f>
        <v>60000</v>
      </c>
      <c r="C29" s="61" t="n">
        <f aca="false">IF(B29=0,"-",$B$14/B29)</f>
        <v>1.75461111111111</v>
      </c>
    </row>
    <row r="31" customFormat="false" ht="15" hidden="false" customHeight="true" outlineLevel="0" collapsed="false">
      <c r="A31" s="45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3" min="2" style="1" width="12"/>
  </cols>
  <sheetData>
    <row r="1" customFormat="false" ht="15" hidden="false" customHeight="true" outlineLevel="0" collapsed="false">
      <c r="A1" s="58" t="s">
        <v>178</v>
      </c>
      <c r="B1" s="62" t="n">
        <v>1</v>
      </c>
      <c r="C1" s="62" t="n">
        <v>2</v>
      </c>
      <c r="D1" s="62" t="n">
        <v>3</v>
      </c>
      <c r="E1" s="62" t="n">
        <v>4</v>
      </c>
      <c r="F1" s="62" t="n">
        <v>5</v>
      </c>
      <c r="G1" s="62" t="n">
        <v>6</v>
      </c>
      <c r="H1" s="62" t="n">
        <v>7</v>
      </c>
      <c r="I1" s="62" t="n">
        <v>8</v>
      </c>
      <c r="J1" s="62" t="n">
        <v>9</v>
      </c>
      <c r="K1" s="62" t="n">
        <v>10</v>
      </c>
      <c r="L1" s="62" t="n">
        <v>11</v>
      </c>
      <c r="M1" s="62" t="n">
        <v>12</v>
      </c>
    </row>
    <row r="3" customFormat="false" ht="15" hidden="false" customHeight="true" outlineLevel="0" collapsed="false">
      <c r="A3" s="43" t="s">
        <v>179</v>
      </c>
      <c r="B3" s="63" t="n">
        <f aca="false">Assumptions!B21*Assumptions!B23</f>
        <v>16</v>
      </c>
      <c r="C3" s="63" t="n">
        <v>0</v>
      </c>
      <c r="D3" s="63" t="n">
        <v>0</v>
      </c>
      <c r="E3" s="63" t="n">
        <v>0</v>
      </c>
      <c r="F3" s="63" t="n">
        <v>0</v>
      </c>
      <c r="G3" s="63" t="n">
        <v>0</v>
      </c>
      <c r="H3" s="63" t="n">
        <v>0</v>
      </c>
      <c r="I3" s="63" t="n">
        <v>0</v>
      </c>
      <c r="J3" s="63" t="n">
        <v>0</v>
      </c>
      <c r="K3" s="63" t="n">
        <v>0</v>
      </c>
      <c r="L3" s="63" t="n">
        <v>0</v>
      </c>
      <c r="M3" s="63" t="n">
        <v>0</v>
      </c>
    </row>
    <row r="4" customFormat="false" ht="15" hidden="false" customHeight="true" outlineLevel="0" collapsed="false">
      <c r="A4" s="43" t="s">
        <v>180</v>
      </c>
      <c r="B4" s="63" t="n">
        <v>0</v>
      </c>
      <c r="C4" s="63" t="n">
        <f aca="false">Assumptions!$B$25</f>
        <v>6</v>
      </c>
      <c r="D4" s="63" t="n">
        <f aca="false">Assumptions!$B$25</f>
        <v>6</v>
      </c>
      <c r="E4" s="63" t="n">
        <f aca="false">Assumptions!$B$25</f>
        <v>6</v>
      </c>
      <c r="F4" s="63" t="n">
        <f aca="false">Assumptions!$B$25</f>
        <v>6</v>
      </c>
      <c r="G4" s="63" t="n">
        <f aca="false">Assumptions!$B$25</f>
        <v>6</v>
      </c>
      <c r="H4" s="63" t="n">
        <f aca="false">Assumptions!$B$25</f>
        <v>6</v>
      </c>
      <c r="I4" s="63" t="n">
        <f aca="false">Assumptions!$B$25</f>
        <v>6</v>
      </c>
      <c r="J4" s="63" t="n">
        <f aca="false">Assumptions!$B$25</f>
        <v>6</v>
      </c>
      <c r="K4" s="63" t="n">
        <f aca="false">Assumptions!$B$25</f>
        <v>6</v>
      </c>
      <c r="L4" s="63" t="n">
        <f aca="false">Assumptions!$B$25</f>
        <v>6</v>
      </c>
      <c r="M4" s="63" t="n">
        <f aca="false">Assumptions!$B$25</f>
        <v>6</v>
      </c>
    </row>
    <row r="5" customFormat="false" ht="15" hidden="false" customHeight="true" outlineLevel="0" collapsed="false">
      <c r="A5" s="43" t="s">
        <v>181</v>
      </c>
      <c r="B5" s="63" t="n">
        <v>0</v>
      </c>
      <c r="C5" s="63" t="n">
        <f aca="false">Assumptions!$B$24*B7</f>
        <v>1.28</v>
      </c>
      <c r="D5" s="63" t="n">
        <f aca="false">Assumptions!$B$24*C7</f>
        <v>1.4784</v>
      </c>
      <c r="E5" s="63" t="n">
        <f aca="false">Assumptions!$B$24*D7</f>
        <v>1.633152</v>
      </c>
      <c r="F5" s="63" t="n">
        <f aca="false">Assumptions!$B$24*E7</f>
        <v>1.75385856</v>
      </c>
      <c r="G5" s="63" t="n">
        <f aca="false">Assumptions!$B$24*F7</f>
        <v>1.8480096768</v>
      </c>
      <c r="H5" s="63" t="n">
        <f aca="false">Assumptions!$B$24*G7</f>
        <v>1.921447547904</v>
      </c>
      <c r="I5" s="63" t="n">
        <f aca="false">Assumptions!$B$24*H7</f>
        <v>1.97872908736512</v>
      </c>
      <c r="J5" s="63" t="n">
        <f aca="false">Assumptions!$B$24*I7</f>
        <v>2.02340868814479</v>
      </c>
      <c r="K5" s="63" t="n">
        <f aca="false">Assumptions!$B$24*J7</f>
        <v>2.05825877675294</v>
      </c>
      <c r="L5" s="63" t="n">
        <f aca="false">Assumptions!$B$24*K7</f>
        <v>2.08544184586729</v>
      </c>
      <c r="M5" s="63" t="n">
        <f aca="false">Assumptions!$B$24*L7</f>
        <v>2.10664463977649</v>
      </c>
    </row>
    <row r="6" customFormat="false" ht="15" hidden="false" customHeight="true" outlineLevel="0" collapsed="false">
      <c r="A6" s="58" t="s">
        <v>182</v>
      </c>
      <c r="B6" s="63" t="n">
        <f aca="false">SUM(B3:B5)</f>
        <v>16</v>
      </c>
      <c r="C6" s="63" t="n">
        <f aca="false">SUM(C3:C5)</f>
        <v>7.28</v>
      </c>
      <c r="D6" s="63" t="n">
        <f aca="false">SUM(D3:D5)</f>
        <v>7.4784</v>
      </c>
      <c r="E6" s="63" t="n">
        <f aca="false">SUM(E3:E5)</f>
        <v>7.633152</v>
      </c>
      <c r="F6" s="63" t="n">
        <f aca="false">SUM(F3:F5)</f>
        <v>7.75385856</v>
      </c>
      <c r="G6" s="63" t="n">
        <f aca="false">SUM(G3:G5)</f>
        <v>7.8480096768</v>
      </c>
      <c r="H6" s="63" t="n">
        <f aca="false">SUM(H3:H5)</f>
        <v>7.921447547904</v>
      </c>
      <c r="I6" s="63" t="n">
        <f aca="false">SUM(I3:I5)</f>
        <v>7.97872908736512</v>
      </c>
      <c r="J6" s="63" t="n">
        <f aca="false">SUM(J3:J5)</f>
        <v>8.02340868814479</v>
      </c>
      <c r="K6" s="63" t="n">
        <f aca="false">SUM(K3:K5)</f>
        <v>8.05825877675294</v>
      </c>
      <c r="L6" s="63" t="n">
        <f aca="false">SUM(L3:L5)</f>
        <v>8.08544184586729</v>
      </c>
      <c r="M6" s="63" t="n">
        <f aca="false">SUM(M3:M5)</f>
        <v>8.10664463977649</v>
      </c>
    </row>
    <row r="7" customFormat="false" ht="15" hidden="false" customHeight="true" outlineLevel="0" collapsed="false">
      <c r="A7" s="58" t="s">
        <v>183</v>
      </c>
      <c r="B7" s="63" t="n">
        <f aca="false">B6</f>
        <v>16</v>
      </c>
      <c r="C7" s="63" t="n">
        <f aca="false">B7*Assumptions!$B$20+C6</f>
        <v>18.48</v>
      </c>
      <c r="D7" s="63" t="n">
        <f aca="false">C7*Assumptions!$B$20+D6</f>
        <v>20.4144</v>
      </c>
      <c r="E7" s="63" t="n">
        <f aca="false">D7*Assumptions!$B$20+E6</f>
        <v>21.923232</v>
      </c>
      <c r="F7" s="63" t="n">
        <f aca="false">E7*Assumptions!$B$20+F6</f>
        <v>23.10012096</v>
      </c>
      <c r="G7" s="63" t="n">
        <f aca="false">F7*Assumptions!$B$20+G6</f>
        <v>24.0180943488</v>
      </c>
      <c r="H7" s="63" t="n">
        <f aca="false">G7*Assumptions!$B$20+H6</f>
        <v>24.734113592064</v>
      </c>
      <c r="I7" s="63" t="n">
        <f aca="false">H7*Assumptions!$B$20+I6</f>
        <v>25.2926086018099</v>
      </c>
      <c r="J7" s="63" t="n">
        <f aca="false">I7*Assumptions!$B$20+J6</f>
        <v>25.7282347094117</v>
      </c>
      <c r="K7" s="63" t="n">
        <f aca="false">J7*Assumptions!$B$20+K6</f>
        <v>26.0680230733412</v>
      </c>
      <c r="L7" s="63" t="n">
        <f aca="false">K7*Assumptions!$B$20+L6</f>
        <v>26.3330579972061</v>
      </c>
      <c r="M7" s="63" t="n">
        <f aca="false">L7*Assumptions!$B$20+M6</f>
        <v>26.5397852378208</v>
      </c>
    </row>
    <row r="8" customFormat="false" ht="15" hidden="false" customHeight="true" outlineLevel="0" collapsed="false">
      <c r="A8" s="43" t="s">
        <v>184</v>
      </c>
      <c r="B8" s="63" t="n">
        <f aca="false">B7*Assumptions!$B$9</f>
        <v>160</v>
      </c>
      <c r="C8" s="63" t="n">
        <f aca="false">C7*Assumptions!$B$9</f>
        <v>184.8</v>
      </c>
      <c r="D8" s="63" t="n">
        <f aca="false">D7*Assumptions!$B$9</f>
        <v>204.144</v>
      </c>
      <c r="E8" s="63" t="n">
        <f aca="false">E7*Assumptions!$B$9</f>
        <v>219.23232</v>
      </c>
      <c r="F8" s="63" t="n">
        <f aca="false">F7*Assumptions!$B$9</f>
        <v>231.0012096</v>
      </c>
      <c r="G8" s="63" t="n">
        <f aca="false">G7*Assumptions!$B$9</f>
        <v>240.180943488</v>
      </c>
      <c r="H8" s="63" t="n">
        <f aca="false">H7*Assumptions!$B$9</f>
        <v>247.34113592064</v>
      </c>
      <c r="I8" s="63" t="n">
        <f aca="false">I7*Assumptions!$B$9</f>
        <v>252.926086018099</v>
      </c>
      <c r="J8" s="63" t="n">
        <f aca="false">J7*Assumptions!$B$9</f>
        <v>257.282347094117</v>
      </c>
      <c r="K8" s="63" t="n">
        <f aca="false">K7*Assumptions!$B$9</f>
        <v>260.680230733412</v>
      </c>
      <c r="L8" s="63" t="n">
        <f aca="false">L7*Assumptions!$B$9</f>
        <v>263.330579972061</v>
      </c>
      <c r="M8" s="63" t="n">
        <f aca="false">M7*Assumptions!$B$9</f>
        <v>265.397852378208</v>
      </c>
    </row>
    <row r="9" customFormat="false" ht="15" hidden="false" customHeight="true" outlineLevel="0" collapsed="false">
      <c r="A9" s="43" t="s">
        <v>185</v>
      </c>
      <c r="B9" s="47" t="n">
        <f aca="false">B7*Assumptions!$B$8</f>
        <v>3984000</v>
      </c>
      <c r="C9" s="47" t="n">
        <f aca="false">C7*Assumptions!$B$8</f>
        <v>4601520</v>
      </c>
      <c r="D9" s="47" t="n">
        <f aca="false">D7*Assumptions!$B$8</f>
        <v>5083185.6</v>
      </c>
      <c r="E9" s="47" t="n">
        <f aca="false">E7*Assumptions!$B$8</f>
        <v>5458884.768</v>
      </c>
      <c r="F9" s="47" t="n">
        <f aca="false">F7*Assumptions!$B$8</f>
        <v>5751930.11904</v>
      </c>
      <c r="G9" s="47" t="n">
        <f aca="false">G7*Assumptions!$B$8</f>
        <v>5980505.4928512</v>
      </c>
      <c r="H9" s="47" t="n">
        <f aca="false">H7*Assumptions!$B$8</f>
        <v>6158794.28442394</v>
      </c>
      <c r="I9" s="47" t="n">
        <f aca="false">I7*Assumptions!$B$8</f>
        <v>6297859.54185067</v>
      </c>
      <c r="J9" s="47" t="n">
        <f aca="false">J7*Assumptions!$B$8</f>
        <v>6406330.44264352</v>
      </c>
      <c r="K9" s="47" t="n">
        <f aca="false">K7*Assumptions!$B$8</f>
        <v>6490937.74526195</v>
      </c>
      <c r="L9" s="47" t="n">
        <f aca="false">L7*Assumptions!$B$8</f>
        <v>6556931.44130432</v>
      </c>
      <c r="M9" s="47" t="n">
        <f aca="false">M7*Assumptions!$B$8</f>
        <v>6608406.52421737</v>
      </c>
    </row>
    <row r="11" customFormat="false" ht="15" hidden="false" customHeight="true" outlineLevel="0" collapsed="false">
      <c r="A11" s="43" t="s">
        <v>162</v>
      </c>
      <c r="B11" s="47" t="n">
        <f aca="false">B9*Assumptions!$B$13</f>
        <v>796800</v>
      </c>
      <c r="C11" s="47" t="n">
        <f aca="false">C9*Assumptions!$B$13</f>
        <v>920304</v>
      </c>
      <c r="D11" s="47" t="n">
        <f aca="false">D9*Assumptions!$B$13</f>
        <v>1016637.12</v>
      </c>
      <c r="E11" s="47" t="n">
        <f aca="false">E9*Assumptions!$B$13</f>
        <v>1091776.9536</v>
      </c>
      <c r="F11" s="47" t="n">
        <f aca="false">F9*Assumptions!$B$13</f>
        <v>1150386.023808</v>
      </c>
      <c r="G11" s="47" t="n">
        <f aca="false">G9*Assumptions!$B$13</f>
        <v>1196101.09857024</v>
      </c>
      <c r="H11" s="47" t="n">
        <f aca="false">H9*Assumptions!$B$13</f>
        <v>1231758.85688479</v>
      </c>
      <c r="I11" s="47" t="n">
        <f aca="false">I9*Assumptions!$B$13</f>
        <v>1259571.90837013</v>
      </c>
      <c r="J11" s="47" t="n">
        <f aca="false">J9*Assumptions!$B$13</f>
        <v>1281266.0885287</v>
      </c>
      <c r="K11" s="47" t="n">
        <f aca="false">K9*Assumptions!$B$13</f>
        <v>1298187.54905239</v>
      </c>
      <c r="L11" s="47" t="n">
        <f aca="false">L9*Assumptions!$B$13</f>
        <v>1311386.28826086</v>
      </c>
      <c r="M11" s="47" t="n">
        <f aca="false">M9*Assumptions!$B$13</f>
        <v>1321681.30484347</v>
      </c>
    </row>
    <row r="12" customFormat="false" ht="15" hidden="false" customHeight="true" outlineLevel="0" collapsed="false">
      <c r="A12" s="43" t="s">
        <v>186</v>
      </c>
      <c r="B12" s="47" t="n">
        <f aca="false">B9*Assumptions!$B$14</f>
        <v>131472</v>
      </c>
      <c r="C12" s="47" t="n">
        <f aca="false">C9*Assumptions!$B$14</f>
        <v>151850.16</v>
      </c>
      <c r="D12" s="47" t="n">
        <f aca="false">D9*Assumptions!$B$14</f>
        <v>167745.1248</v>
      </c>
      <c r="E12" s="47" t="n">
        <f aca="false">E9*Assumptions!$B$14</f>
        <v>180143.197344</v>
      </c>
      <c r="F12" s="47" t="n">
        <f aca="false">F9*Assumptions!$B$14</f>
        <v>189813.69392832</v>
      </c>
      <c r="G12" s="47" t="n">
        <f aca="false">G9*Assumptions!$B$14</f>
        <v>197356.68126409</v>
      </c>
      <c r="H12" s="47" t="n">
        <f aca="false">H9*Assumptions!$B$14</f>
        <v>203240.21138599</v>
      </c>
      <c r="I12" s="47" t="n">
        <f aca="false">I9*Assumptions!$B$14</f>
        <v>207829.364881072</v>
      </c>
      <c r="J12" s="47" t="n">
        <f aca="false">J9*Assumptions!$B$14</f>
        <v>211408.904607236</v>
      </c>
      <c r="K12" s="47" t="n">
        <f aca="false">K9*Assumptions!$B$14</f>
        <v>214200.945593644</v>
      </c>
      <c r="L12" s="47" t="n">
        <f aca="false">L9*Assumptions!$B$14</f>
        <v>216378.737563043</v>
      </c>
      <c r="M12" s="47" t="n">
        <f aca="false">M9*Assumptions!$B$14</f>
        <v>218077.415299173</v>
      </c>
    </row>
    <row r="13" customFormat="false" ht="15" hidden="false" customHeight="true" outlineLevel="0" collapsed="false">
      <c r="A13" s="43" t="s">
        <v>164</v>
      </c>
      <c r="B13" s="47" t="n">
        <f aca="false">B8*Assumptions!$B$15</f>
        <v>160000</v>
      </c>
      <c r="C13" s="47" t="n">
        <f aca="false">C8*Assumptions!$B$15</f>
        <v>184800</v>
      </c>
      <c r="D13" s="47" t="n">
        <f aca="false">D8*Assumptions!$B$15</f>
        <v>204144</v>
      </c>
      <c r="E13" s="47" t="n">
        <f aca="false">E8*Assumptions!$B$15</f>
        <v>219232.32</v>
      </c>
      <c r="F13" s="47" t="n">
        <f aca="false">F8*Assumptions!$B$15</f>
        <v>231001.2096</v>
      </c>
      <c r="G13" s="47" t="n">
        <f aca="false">G8*Assumptions!$B$15</f>
        <v>240180.943488</v>
      </c>
      <c r="H13" s="47" t="n">
        <f aca="false">H8*Assumptions!$B$15</f>
        <v>247341.13592064</v>
      </c>
      <c r="I13" s="47" t="n">
        <f aca="false">I8*Assumptions!$B$15</f>
        <v>252926.086018099</v>
      </c>
      <c r="J13" s="47" t="n">
        <f aca="false">J8*Assumptions!$B$15</f>
        <v>257282.347094117</v>
      </c>
      <c r="K13" s="47" t="n">
        <f aca="false">K8*Assumptions!$B$15</f>
        <v>260680.230733412</v>
      </c>
      <c r="L13" s="47" t="n">
        <f aca="false">L8*Assumptions!$B$15</f>
        <v>263330.579972061</v>
      </c>
      <c r="M13" s="47" t="n">
        <f aca="false">M8*Assumptions!$B$15</f>
        <v>265397.852378208</v>
      </c>
    </row>
    <row r="14" customFormat="false" ht="15" hidden="false" customHeight="true" outlineLevel="0" collapsed="false">
      <c r="A14" s="58" t="s">
        <v>187</v>
      </c>
      <c r="B14" s="47" t="n">
        <f aca="false">B11-B12-B13</f>
        <v>505328</v>
      </c>
      <c r="C14" s="47" t="n">
        <f aca="false">C11-C12-C13</f>
        <v>583653.84</v>
      </c>
      <c r="D14" s="47" t="n">
        <f aca="false">D11-D12-D13</f>
        <v>644747.9952</v>
      </c>
      <c r="E14" s="47" t="n">
        <f aca="false">E11-E12-E13</f>
        <v>692401.436256</v>
      </c>
      <c r="F14" s="47" t="n">
        <f aca="false">F11-F12-F13</f>
        <v>729571.12027968</v>
      </c>
      <c r="G14" s="47" t="n">
        <f aca="false">G11-G12-G13</f>
        <v>758563.47381815</v>
      </c>
      <c r="H14" s="47" t="n">
        <f aca="false">H11-H12-H13</f>
        <v>781177.509578157</v>
      </c>
      <c r="I14" s="47" t="n">
        <f aca="false">I11-I12-I13</f>
        <v>798816.457470963</v>
      </c>
      <c r="J14" s="47" t="n">
        <f aca="false">J11-J12-J13</f>
        <v>812574.836827351</v>
      </c>
      <c r="K14" s="47" t="n">
        <f aca="false">K11-K12-K13</f>
        <v>823306.372725334</v>
      </c>
      <c r="L14" s="47" t="n">
        <f aca="false">L11-L12-L13</f>
        <v>831676.970725761</v>
      </c>
      <c r="M14" s="47" t="n">
        <f aca="false">M11-M12-M13</f>
        <v>838206.037166093</v>
      </c>
    </row>
    <row r="16" customFormat="false" ht="15" hidden="false" customHeight="true" outlineLevel="0" collapsed="false">
      <c r="A16" s="43" t="s">
        <v>188</v>
      </c>
      <c r="B16" s="47" t="n">
        <f aca="false">Assumptions!$B$28*Assumptions!$B$29</f>
        <v>1600000</v>
      </c>
      <c r="C16" s="47" t="n">
        <f aca="false">Assumptions!$B$28*Assumptions!$B$29</f>
        <v>1600000</v>
      </c>
      <c r="D16" s="47" t="n">
        <f aca="false">Assumptions!$B$28*Assumptions!$B$29</f>
        <v>1600000</v>
      </c>
      <c r="E16" s="47" t="n">
        <f aca="false">Assumptions!$B$28*Assumptions!$B$29</f>
        <v>1600000</v>
      </c>
      <c r="F16" s="47" t="n">
        <f aca="false">Assumptions!$B$28*Assumptions!$B$29</f>
        <v>1600000</v>
      </c>
      <c r="G16" s="47" t="n">
        <f aca="false">Assumptions!$B$28*Assumptions!$B$29</f>
        <v>1600000</v>
      </c>
      <c r="H16" s="47" t="n">
        <f aca="false">Assumptions!$B$28*Assumptions!$B$29</f>
        <v>1600000</v>
      </c>
      <c r="I16" s="47" t="n">
        <f aca="false">Assumptions!$B$28*Assumptions!$B$29</f>
        <v>1600000</v>
      </c>
      <c r="J16" s="47" t="n">
        <f aca="false">Assumptions!$B$28*Assumptions!$B$29</f>
        <v>1600000</v>
      </c>
      <c r="K16" s="47" t="n">
        <f aca="false">Assumptions!$B$28*Assumptions!$B$29</f>
        <v>1600000</v>
      </c>
      <c r="L16" s="47" t="n">
        <f aca="false">Assumptions!$B$28*Assumptions!$B$29</f>
        <v>1600000</v>
      </c>
      <c r="M16" s="47" t="n">
        <f aca="false">Assumptions!$B$28*Assumptions!$B$29</f>
        <v>1600000</v>
      </c>
    </row>
    <row r="17" customFormat="false" ht="15" hidden="false" customHeight="true" outlineLevel="0" collapsed="false">
      <c r="A17" s="43" t="s">
        <v>189</v>
      </c>
      <c r="B17" s="47" t="n">
        <f aca="false">Assumptions!B21*Assumptions!B22*Assumptions!B17</f>
        <v>1593600</v>
      </c>
      <c r="C17" s="47" t="n">
        <f aca="false">C5*2*Assumptions!$B$17</f>
        <v>50995.2</v>
      </c>
      <c r="D17" s="47" t="n">
        <f aca="false">D5*2*Assumptions!$B$17</f>
        <v>58899.456</v>
      </c>
      <c r="E17" s="47" t="n">
        <f aca="false">E5*2*Assumptions!$B$17</f>
        <v>65064.77568</v>
      </c>
      <c r="F17" s="47" t="n">
        <f aca="false">F5*2*Assumptions!$B$17</f>
        <v>69873.7250304</v>
      </c>
      <c r="G17" s="47" t="n">
        <f aca="false">G5*2*Assumptions!$B$17</f>
        <v>73624.705523712</v>
      </c>
      <c r="H17" s="47" t="n">
        <f aca="false">H5*2*Assumptions!$B$17</f>
        <v>76550.4703084954</v>
      </c>
      <c r="I17" s="47" t="n">
        <f aca="false">I5*2*Assumptions!$B$17</f>
        <v>78832.5668406264</v>
      </c>
      <c r="J17" s="47" t="n">
        <f aca="false">J5*2*Assumptions!$B$17</f>
        <v>80612.6021356886</v>
      </c>
      <c r="K17" s="47" t="n">
        <f aca="false">K5*2*Assumptions!$B$17</f>
        <v>82001.0296658371</v>
      </c>
      <c r="L17" s="47" t="n">
        <f aca="false">L5*2*Assumptions!$B$17</f>
        <v>83084.0031393529</v>
      </c>
      <c r="M17" s="47" t="n">
        <f aca="false">M5*2*Assumptions!$B$17</f>
        <v>83928.7224486953</v>
      </c>
    </row>
    <row r="18" customFormat="false" ht="15" hidden="false" customHeight="true" outlineLevel="0" collapsed="false">
      <c r="A18" s="43" t="s">
        <v>190</v>
      </c>
      <c r="B18" s="44" t="n">
        <v>1000000</v>
      </c>
      <c r="C18" s="44" t="n">
        <v>500000</v>
      </c>
      <c r="D18" s="44" t="n">
        <v>0</v>
      </c>
      <c r="E18" s="44" t="n">
        <v>0</v>
      </c>
      <c r="F18" s="44" t="n">
        <v>0</v>
      </c>
      <c r="G18" s="44" t="n">
        <v>0</v>
      </c>
      <c r="H18" s="44" t="n">
        <v>0</v>
      </c>
      <c r="I18" s="44" t="n">
        <v>0</v>
      </c>
      <c r="J18" s="44" t="n">
        <v>0</v>
      </c>
      <c r="K18" s="44" t="n">
        <v>0</v>
      </c>
      <c r="L18" s="44" t="n">
        <v>0</v>
      </c>
      <c r="M18" s="44" t="n">
        <v>0</v>
      </c>
    </row>
    <row r="19" customFormat="false" ht="15" hidden="false" customHeight="true" outlineLevel="0" collapsed="false">
      <c r="A19" s="43" t="s">
        <v>191</v>
      </c>
      <c r="B19" s="47" t="n">
        <f aca="false">Assumptions!$B$30</f>
        <v>500000</v>
      </c>
      <c r="C19" s="47" t="n">
        <f aca="false">Assumptions!$B$30</f>
        <v>500000</v>
      </c>
      <c r="D19" s="47" t="n">
        <f aca="false">Assumptions!$B$30</f>
        <v>500000</v>
      </c>
      <c r="E19" s="47" t="n">
        <f aca="false">Assumptions!$B$30</f>
        <v>500000</v>
      </c>
      <c r="F19" s="47" t="n">
        <f aca="false">Assumptions!$B$30</f>
        <v>500000</v>
      </c>
      <c r="G19" s="47" t="n">
        <f aca="false">Assumptions!$B$30</f>
        <v>500000</v>
      </c>
      <c r="H19" s="47" t="n">
        <f aca="false">Assumptions!$B$30</f>
        <v>500000</v>
      </c>
      <c r="I19" s="47" t="n">
        <f aca="false">Assumptions!$B$30</f>
        <v>500000</v>
      </c>
      <c r="J19" s="47" t="n">
        <f aca="false">Assumptions!$B$30</f>
        <v>500000</v>
      </c>
      <c r="K19" s="47" t="n">
        <f aca="false">Assumptions!$B$30</f>
        <v>500000</v>
      </c>
      <c r="L19" s="47" t="n">
        <f aca="false">Assumptions!$B$30</f>
        <v>500000</v>
      </c>
      <c r="M19" s="47" t="n">
        <f aca="false">Assumptions!$B$30</f>
        <v>500000</v>
      </c>
    </row>
    <row r="20" customFormat="false" ht="15" hidden="false" customHeight="true" outlineLevel="0" collapsed="false">
      <c r="A20" s="58" t="s">
        <v>192</v>
      </c>
      <c r="B20" s="47" t="n">
        <f aca="false">SUM(B16:B19)</f>
        <v>4693600</v>
      </c>
      <c r="C20" s="47" t="n">
        <f aca="false">SUM(C16:C19)</f>
        <v>2650995.2</v>
      </c>
      <c r="D20" s="47" t="n">
        <f aca="false">SUM(D16:D19)</f>
        <v>2158899.456</v>
      </c>
      <c r="E20" s="47" t="n">
        <f aca="false">SUM(E16:E19)</f>
        <v>2165064.77568</v>
      </c>
      <c r="F20" s="47" t="n">
        <f aca="false">SUM(F16:F19)</f>
        <v>2169873.7250304</v>
      </c>
      <c r="G20" s="47" t="n">
        <f aca="false">SUM(G16:G19)</f>
        <v>2173624.70552371</v>
      </c>
      <c r="H20" s="47" t="n">
        <f aca="false">SUM(H16:H19)</f>
        <v>2176550.4703085</v>
      </c>
      <c r="I20" s="47" t="n">
        <f aca="false">SUM(I16:I19)</f>
        <v>2178832.56684063</v>
      </c>
      <c r="J20" s="47" t="n">
        <f aca="false">SUM(J16:J19)</f>
        <v>2180612.60213569</v>
      </c>
      <c r="K20" s="47" t="n">
        <f aca="false">SUM(K16:K19)</f>
        <v>2182001.02966584</v>
      </c>
      <c r="L20" s="47" t="n">
        <f aca="false">SUM(L16:L19)</f>
        <v>2183084.00313935</v>
      </c>
      <c r="M20" s="47" t="n">
        <f aca="false">SUM(M16:M19)</f>
        <v>2183928.7224487</v>
      </c>
    </row>
    <row r="21" customFormat="false" ht="15" hidden="false" customHeight="true" outlineLevel="0" collapsed="false">
      <c r="A21" s="58" t="s">
        <v>193</v>
      </c>
      <c r="B21" s="47" t="n">
        <f aca="false">B14-B20</f>
        <v>-4188272</v>
      </c>
      <c r="C21" s="47" t="n">
        <f aca="false">C14-C20</f>
        <v>-2067341.36</v>
      </c>
      <c r="D21" s="47" t="n">
        <f aca="false">D14-D20</f>
        <v>-1514151.4608</v>
      </c>
      <c r="E21" s="47" t="n">
        <f aca="false">E14-E20</f>
        <v>-1472663.339424</v>
      </c>
      <c r="F21" s="47" t="n">
        <f aca="false">F14-F20</f>
        <v>-1440302.60475072</v>
      </c>
      <c r="G21" s="47" t="n">
        <f aca="false">G14-G20</f>
        <v>-1415061.23170556</v>
      </c>
      <c r="H21" s="47" t="n">
        <f aca="false">H14-H20</f>
        <v>-1395372.96073034</v>
      </c>
      <c r="I21" s="47" t="n">
        <f aca="false">I14-I20</f>
        <v>-1380016.10936966</v>
      </c>
      <c r="J21" s="47" t="n">
        <f aca="false">J14-J20</f>
        <v>-1368037.76530834</v>
      </c>
      <c r="K21" s="47" t="n">
        <f aca="false">K14-K20</f>
        <v>-1358694.6569405</v>
      </c>
      <c r="L21" s="47" t="n">
        <f aca="false">L14-L20</f>
        <v>-1351407.03241359</v>
      </c>
      <c r="M21" s="47" t="n">
        <f aca="false">M14-M20</f>
        <v>-1345722.6852826</v>
      </c>
    </row>
    <row r="22" customFormat="false" ht="15" hidden="false" customHeight="true" outlineLevel="0" collapsed="false">
      <c r="A22" s="58" t="s">
        <v>194</v>
      </c>
      <c r="B22" s="47" t="n">
        <f aca="false">B21</f>
        <v>-4188272</v>
      </c>
      <c r="C22" s="47" t="n">
        <f aca="false">B22+C21</f>
        <v>-6255613.36</v>
      </c>
      <c r="D22" s="47" t="n">
        <f aca="false">C22+D21</f>
        <v>-7769764.8208</v>
      </c>
      <c r="E22" s="47" t="n">
        <f aca="false">D22+E21</f>
        <v>-9242428.160224</v>
      </c>
      <c r="F22" s="47" t="n">
        <f aca="false">E22+F21</f>
        <v>-10682730.7649747</v>
      </c>
      <c r="G22" s="47" t="n">
        <f aca="false">F22+G21</f>
        <v>-12097791.9966803</v>
      </c>
      <c r="H22" s="47" t="n">
        <f aca="false">G22+H21</f>
        <v>-13493164.9574106</v>
      </c>
      <c r="I22" s="47" t="n">
        <f aca="false">H22+I21</f>
        <v>-14873181.0667803</v>
      </c>
      <c r="J22" s="47" t="n">
        <f aca="false">I22+J21</f>
        <v>-16241218.8320886</v>
      </c>
      <c r="K22" s="47" t="n">
        <f aca="false">J22+K21</f>
        <v>-17599913.4890291</v>
      </c>
      <c r="L22" s="47" t="n">
        <f aca="false">K22+L21</f>
        <v>-18951320.5214427</v>
      </c>
      <c r="M22" s="47" t="n">
        <f aca="false">L22+M21</f>
        <v>-20297043.2067253</v>
      </c>
    </row>
    <row r="24" customFormat="false" ht="15" hidden="false" customHeight="true" outlineLevel="0" collapsed="false">
      <c r="A24" s="43" t="s">
        <v>195</v>
      </c>
      <c r="B24" s="59" t="n">
        <f aca="false">B8/(Assumptions!$B$33*Assumptions!$B$35)</f>
        <v>4.6189376443418</v>
      </c>
      <c r="C24" s="59" t="n">
        <f aca="false">C8/(Assumptions!$B$33*Assumptions!$B$35)</f>
        <v>5.33487297921478</v>
      </c>
      <c r="D24" s="59" t="n">
        <f aca="false">D8/(Assumptions!$B$33*Assumptions!$B$35)</f>
        <v>5.8933025404157</v>
      </c>
      <c r="E24" s="59" t="n">
        <f aca="false">E8/(Assumptions!$B$33*Assumptions!$B$35)</f>
        <v>6.32887759815243</v>
      </c>
      <c r="F24" s="59" t="n">
        <f aca="false">F8/(Assumptions!$B$33*Assumptions!$B$35)</f>
        <v>6.66862614318707</v>
      </c>
      <c r="G24" s="59" t="n">
        <f aca="false">G8/(Assumptions!$B$33*Assumptions!$B$35)</f>
        <v>6.93363000831409</v>
      </c>
      <c r="H24" s="59" t="n">
        <f aca="false">H8/(Assumptions!$B$33*Assumptions!$B$35)</f>
        <v>7.14033302311316</v>
      </c>
      <c r="I24" s="59" t="n">
        <f aca="false">I8/(Assumptions!$B$33*Assumptions!$B$35)</f>
        <v>7.30156137465644</v>
      </c>
      <c r="J24" s="59" t="n">
        <f aca="false">J8/(Assumptions!$B$33*Assumptions!$B$35)</f>
        <v>7.4273194888602</v>
      </c>
      <c r="K24" s="59" t="n">
        <f aca="false">K8/(Assumptions!$B$33*Assumptions!$B$35)</f>
        <v>7.52541081793913</v>
      </c>
      <c r="L24" s="59" t="n">
        <f aca="false">L8/(Assumptions!$B$33*Assumptions!$B$35)</f>
        <v>7.6019220546207</v>
      </c>
      <c r="M24" s="59" t="n">
        <f aca="false">M8/(Assumptions!$B$33*Assumptions!$B$35)</f>
        <v>7.66160081923232</v>
      </c>
    </row>
    <row r="25" customFormat="false" ht="15" hidden="false" customHeight="true" outlineLevel="0" collapsed="false">
      <c r="A25" s="43" t="s">
        <v>196</v>
      </c>
      <c r="B25" s="63" t="n">
        <f aca="false">ROUNDUP(B24*Assumptions!$B$34,0)</f>
        <v>7</v>
      </c>
      <c r="C25" s="63" t="n">
        <f aca="false">ROUNDUP(C24*Assumptions!$B$34,0)</f>
        <v>9</v>
      </c>
      <c r="D25" s="63" t="n">
        <f aca="false">ROUNDUP(D24*Assumptions!$B$34,0)</f>
        <v>9</v>
      </c>
      <c r="E25" s="63" t="n">
        <f aca="false">ROUNDUP(E24*Assumptions!$B$34,0)</f>
        <v>10</v>
      </c>
      <c r="F25" s="63" t="n">
        <f aca="false">ROUNDUP(F24*Assumptions!$B$34,0)</f>
        <v>11</v>
      </c>
      <c r="G25" s="63" t="n">
        <f aca="false">ROUNDUP(G24*Assumptions!$B$34,0)</f>
        <v>11</v>
      </c>
      <c r="H25" s="63" t="n">
        <f aca="false">ROUNDUP(H24*Assumptions!$B$34,0)</f>
        <v>11</v>
      </c>
      <c r="I25" s="63" t="n">
        <f aca="false">ROUNDUP(I24*Assumptions!$B$34,0)</f>
        <v>11</v>
      </c>
      <c r="J25" s="63" t="n">
        <f aca="false">ROUNDUP(J24*Assumptions!$B$34,0)</f>
        <v>12</v>
      </c>
      <c r="K25" s="63" t="n">
        <f aca="false">ROUNDUP(K24*Assumptions!$B$34,0)</f>
        <v>12</v>
      </c>
      <c r="L25" s="63" t="n">
        <f aca="false">ROUNDUP(L24*Assumptions!$B$34,0)</f>
        <v>12</v>
      </c>
      <c r="M25" s="63" t="n">
        <f aca="false">ROUNDUP(M24*Assumptions!$B$34,0)</f>
        <v>12</v>
      </c>
    </row>
    <row r="27" customFormat="false" ht="15" hidden="false" customHeight="true" outlineLevel="0" collapsed="false">
      <c r="A27" s="45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</cols>
  <sheetData>
    <row r="1" customFormat="false" ht="15.75" hidden="false" customHeight="true" outlineLevel="0" collapsed="false">
      <c r="A1" s="41" t="s">
        <v>198</v>
      </c>
    </row>
    <row r="3" customFormat="false" ht="15" hidden="false" customHeight="true" outlineLevel="0" collapsed="false">
      <c r="A3" s="43" t="s">
        <v>199</v>
      </c>
      <c r="B3" s="59" t="n">
        <f aca="false">Assumptions!B9/Assumptions!B35</f>
        <v>2.3094688221709</v>
      </c>
    </row>
    <row r="4" customFormat="false" ht="15" hidden="false" customHeight="true" outlineLevel="0" collapsed="false">
      <c r="A4" s="43" t="s">
        <v>200</v>
      </c>
      <c r="B4" s="59" t="n">
        <f aca="false">Assumptions!B33/B3</f>
        <v>3.464</v>
      </c>
    </row>
    <row r="6" customFormat="false" ht="15" hidden="false" customHeight="true" outlineLevel="0" collapsed="false">
      <c r="A6" s="42" t="s">
        <v>201</v>
      </c>
    </row>
    <row r="7" customFormat="false" ht="15" hidden="false" customHeight="true" outlineLevel="0" collapsed="false">
      <c r="A7" s="62" t="s">
        <v>202</v>
      </c>
      <c r="B7" s="62" t="s">
        <v>203</v>
      </c>
      <c r="C7" s="62" t="s">
        <v>204</v>
      </c>
    </row>
    <row r="8" customFormat="false" ht="15" hidden="false" customHeight="true" outlineLevel="0" collapsed="false">
      <c r="A8" s="49" t="n">
        <v>25</v>
      </c>
      <c r="B8" s="63" t="n">
        <f aca="false">ROUNDUP(A8/$B$4,0)</f>
        <v>8</v>
      </c>
      <c r="C8" s="63" t="n">
        <f aca="false">ROUNDUP(A8/$B$4*Assumptions!$B$34,0)</f>
        <v>11</v>
      </c>
    </row>
    <row r="9" customFormat="false" ht="15" hidden="false" customHeight="true" outlineLevel="0" collapsed="false">
      <c r="A9" s="49" t="n">
        <v>50</v>
      </c>
      <c r="B9" s="63" t="n">
        <f aca="false">ROUNDUP(A9/$B$4,0)</f>
        <v>15</v>
      </c>
      <c r="C9" s="63" t="n">
        <f aca="false">ROUNDUP(A9/$B$4*Assumptions!$B$34,0)</f>
        <v>22</v>
      </c>
    </row>
    <row r="10" customFormat="false" ht="15" hidden="false" customHeight="true" outlineLevel="0" collapsed="false">
      <c r="A10" s="49" t="n">
        <v>75</v>
      </c>
      <c r="B10" s="63" t="n">
        <f aca="false">ROUNDUP(A10/$B$4,0)</f>
        <v>22</v>
      </c>
      <c r="C10" s="63" t="n">
        <f aca="false">ROUNDUP(A10/$B$4*Assumptions!$B$34,0)</f>
        <v>33</v>
      </c>
    </row>
    <row r="11" customFormat="false" ht="15" hidden="false" customHeight="true" outlineLevel="0" collapsed="false">
      <c r="A11" s="49" t="n">
        <v>100</v>
      </c>
      <c r="B11" s="63" t="n">
        <f aca="false">ROUNDUP(A11/$B$4,0)</f>
        <v>29</v>
      </c>
      <c r="C11" s="63" t="n">
        <f aca="false">ROUNDUP(A11/$B$4*Assumptions!$B$34,0)</f>
        <v>44</v>
      </c>
    </row>
    <row r="13" customFormat="false" ht="15" hidden="false" customHeight="true" outlineLevel="0" collapsed="false">
      <c r="A13" s="45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2026-07-30T01:50:40Z</dcterms:created>
  <dc:creator>openpyxl</dc:creator>
  <dc:description/>
  <dc:language>en-US</dc:language>
  <cp:lastModifiedBy/>
  <dcterms:modified xsi:type="dcterms:W3CDTF">2026-08-03T01:46:56Z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